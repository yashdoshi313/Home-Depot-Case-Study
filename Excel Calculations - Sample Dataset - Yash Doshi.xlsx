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umber Folders\Home Depot Case Study\"/>
    </mc:Choice>
  </mc:AlternateContent>
  <xr:revisionPtr revIDLastSave="0" documentId="13_ncr:1_{2C19BD8A-1B18-462D-95DE-2AD6BDA84D08}" xr6:coauthVersionLast="47" xr6:coauthVersionMax="47" xr10:uidLastSave="{00000000-0000-0000-0000-000000000000}"/>
  <bookViews>
    <workbookView xWindow="-110" yWindow="-110" windowWidth="19420" windowHeight="10300" xr2:uid="{C3F6AFF5-CDE7-4A9A-BF64-A730163AE3AA}"/>
  </bookViews>
  <sheets>
    <sheet name="Data Set" sheetId="2" r:id="rId1"/>
  </sheets>
  <definedNames>
    <definedName name="_xlnm._FilterDatabase" localSheetId="0" hidden="1">'Data Set'!$A$1:$AK$241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" i="2" l="1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" i="2"/>
  <c r="S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" i="2"/>
  <c r="AA126" i="2"/>
  <c r="AA146" i="2"/>
  <c r="AA166" i="2"/>
  <c r="AA186" i="2"/>
  <c r="AA206" i="2"/>
  <c r="AA226" i="2"/>
  <c r="AA7" i="2"/>
  <c r="AA27" i="2"/>
  <c r="AA47" i="2"/>
  <c r="AA67" i="2"/>
  <c r="AA87" i="2"/>
  <c r="AA107" i="2"/>
  <c r="AA127" i="2"/>
  <c r="AA147" i="2"/>
  <c r="AA167" i="2"/>
  <c r="AA187" i="2"/>
  <c r="AA207" i="2"/>
  <c r="AA227" i="2"/>
  <c r="AA8" i="2"/>
  <c r="AA28" i="2"/>
  <c r="AA48" i="2"/>
  <c r="AA68" i="2"/>
  <c r="AA88" i="2"/>
  <c r="AA108" i="2"/>
  <c r="AA128" i="2"/>
  <c r="AA148" i="2"/>
  <c r="AA168" i="2"/>
  <c r="AA188" i="2"/>
  <c r="AA208" i="2"/>
  <c r="AA228" i="2"/>
  <c r="AA9" i="2"/>
  <c r="AA29" i="2"/>
  <c r="AA49" i="2"/>
  <c r="AA69" i="2"/>
  <c r="AA89" i="2"/>
  <c r="AA109" i="2"/>
  <c r="AA129" i="2"/>
  <c r="AA149" i="2"/>
  <c r="AA169" i="2"/>
  <c r="AA189" i="2"/>
  <c r="AA209" i="2"/>
  <c r="AA229" i="2"/>
  <c r="AA10" i="2"/>
  <c r="AA30" i="2"/>
  <c r="AA50" i="2"/>
  <c r="AA70" i="2"/>
  <c r="AA90" i="2"/>
  <c r="AA110" i="2"/>
  <c r="AA130" i="2"/>
  <c r="AA150" i="2"/>
  <c r="AA170" i="2"/>
  <c r="AA190" i="2"/>
  <c r="AA210" i="2"/>
  <c r="AA230" i="2"/>
  <c r="AA11" i="2"/>
  <c r="AA31" i="2"/>
  <c r="AA51" i="2"/>
  <c r="AA71" i="2"/>
  <c r="AA91" i="2"/>
  <c r="AA111" i="2"/>
  <c r="AA131" i="2"/>
  <c r="AA151" i="2"/>
  <c r="AA171" i="2"/>
  <c r="AA191" i="2"/>
  <c r="AA211" i="2"/>
  <c r="AA231" i="2"/>
  <c r="AA12" i="2"/>
  <c r="AA32" i="2"/>
  <c r="AA52" i="2"/>
  <c r="AA72" i="2"/>
  <c r="AA92" i="2"/>
  <c r="AA112" i="2"/>
  <c r="AA132" i="2"/>
  <c r="AA152" i="2"/>
  <c r="AA172" i="2"/>
  <c r="AA192" i="2"/>
  <c r="AA212" i="2"/>
  <c r="AA232" i="2"/>
  <c r="AA13" i="2"/>
  <c r="AA33" i="2"/>
  <c r="AA53" i="2"/>
  <c r="AA73" i="2"/>
  <c r="AA93" i="2"/>
  <c r="AA113" i="2"/>
  <c r="AA133" i="2"/>
  <c r="AA153" i="2"/>
  <c r="AA173" i="2"/>
  <c r="AA193" i="2"/>
  <c r="AA213" i="2"/>
  <c r="AA233" i="2"/>
  <c r="AA14" i="2"/>
  <c r="AA34" i="2"/>
  <c r="AA54" i="2"/>
  <c r="AA74" i="2"/>
  <c r="AA94" i="2"/>
  <c r="AA114" i="2"/>
  <c r="AA134" i="2"/>
  <c r="AA154" i="2"/>
  <c r="AA174" i="2"/>
  <c r="AA194" i="2"/>
  <c r="AA214" i="2"/>
  <c r="AA234" i="2"/>
  <c r="AA15" i="2"/>
  <c r="AA35" i="2"/>
  <c r="AA55" i="2"/>
  <c r="AA75" i="2"/>
  <c r="AA95" i="2"/>
  <c r="AA115" i="2"/>
  <c r="AA135" i="2"/>
  <c r="AA155" i="2"/>
  <c r="AA175" i="2"/>
  <c r="AA195" i="2"/>
  <c r="AA215" i="2"/>
  <c r="AA235" i="2"/>
  <c r="AA16" i="2"/>
  <c r="AA36" i="2"/>
  <c r="AA56" i="2"/>
  <c r="AA76" i="2"/>
  <c r="AA96" i="2"/>
  <c r="AA116" i="2"/>
  <c r="AA136" i="2"/>
  <c r="AA156" i="2"/>
  <c r="AA176" i="2"/>
  <c r="AA196" i="2"/>
  <c r="AA216" i="2"/>
  <c r="AA236" i="2"/>
  <c r="AA17" i="2"/>
  <c r="AA37" i="2"/>
  <c r="AA57" i="2"/>
  <c r="AA77" i="2"/>
  <c r="AA97" i="2"/>
  <c r="AA117" i="2"/>
  <c r="AA137" i="2"/>
  <c r="AA157" i="2"/>
  <c r="AA177" i="2"/>
  <c r="AA197" i="2"/>
  <c r="AA217" i="2"/>
  <c r="AA237" i="2"/>
  <c r="AA18" i="2"/>
  <c r="AA38" i="2"/>
  <c r="AA58" i="2"/>
  <c r="AA78" i="2"/>
  <c r="AA98" i="2"/>
  <c r="AA118" i="2"/>
  <c r="AA138" i="2"/>
  <c r="AA158" i="2"/>
  <c r="AA178" i="2"/>
  <c r="AA198" i="2"/>
  <c r="AA218" i="2"/>
  <c r="AA238" i="2"/>
  <c r="AA19" i="2"/>
  <c r="AA39" i="2"/>
  <c r="AA59" i="2"/>
  <c r="AA79" i="2"/>
  <c r="AA99" i="2"/>
  <c r="AA119" i="2"/>
  <c r="AA139" i="2"/>
  <c r="AA159" i="2"/>
  <c r="AA179" i="2"/>
  <c r="AA199" i="2"/>
  <c r="AA219" i="2"/>
  <c r="AA239" i="2"/>
  <c r="AA20" i="2"/>
  <c r="AA40" i="2"/>
  <c r="AA60" i="2"/>
  <c r="AA80" i="2"/>
  <c r="AA100" i="2"/>
  <c r="AA120" i="2"/>
  <c r="AA140" i="2"/>
  <c r="AA160" i="2"/>
  <c r="AA180" i="2"/>
  <c r="AA200" i="2"/>
  <c r="AA220" i="2"/>
  <c r="AA240" i="2"/>
  <c r="AA21" i="2"/>
  <c r="AA41" i="2"/>
  <c r="AA61" i="2"/>
  <c r="AA81" i="2"/>
  <c r="AA101" i="2"/>
  <c r="AA121" i="2"/>
  <c r="AA141" i="2"/>
  <c r="AA161" i="2"/>
  <c r="AA181" i="2"/>
  <c r="AA201" i="2"/>
  <c r="AA221" i="2"/>
  <c r="AA241" i="2"/>
  <c r="AA106" i="2"/>
  <c r="AA22" i="2"/>
  <c r="AA42" i="2"/>
  <c r="AA62" i="2"/>
  <c r="AA82" i="2"/>
  <c r="AA102" i="2"/>
  <c r="AA122" i="2"/>
  <c r="AA142" i="2"/>
  <c r="AA162" i="2"/>
  <c r="AA182" i="2"/>
  <c r="AA202" i="2"/>
  <c r="AA222" i="2"/>
  <c r="AA3" i="2"/>
  <c r="AA23" i="2"/>
  <c r="AA43" i="2"/>
  <c r="AA63" i="2"/>
  <c r="AA83" i="2"/>
  <c r="AA103" i="2"/>
  <c r="AA123" i="2"/>
  <c r="AA143" i="2"/>
  <c r="AA163" i="2"/>
  <c r="AA183" i="2"/>
  <c r="AA203" i="2"/>
  <c r="AA223" i="2"/>
  <c r="AA4" i="2"/>
  <c r="AA24" i="2"/>
  <c r="AA44" i="2"/>
  <c r="AA64" i="2"/>
  <c r="AA84" i="2"/>
  <c r="AA104" i="2"/>
  <c r="AA124" i="2"/>
  <c r="AA144" i="2"/>
  <c r="AA164" i="2"/>
  <c r="AA184" i="2"/>
  <c r="AA204" i="2"/>
  <c r="AA224" i="2"/>
  <c r="AA5" i="2"/>
  <c r="AA25" i="2"/>
  <c r="AA45" i="2"/>
  <c r="AA65" i="2"/>
  <c r="AA85" i="2"/>
  <c r="AA105" i="2"/>
  <c r="AA125" i="2"/>
  <c r="AA145" i="2"/>
  <c r="AA165" i="2"/>
  <c r="AA185" i="2"/>
  <c r="AA205" i="2"/>
  <c r="AA225" i="2"/>
  <c r="AA6" i="2"/>
  <c r="AA26" i="2"/>
  <c r="AA46" i="2"/>
  <c r="AA66" i="2"/>
  <c r="AA86" i="2"/>
  <c r="AB22" i="2"/>
  <c r="AB42" i="2"/>
  <c r="AB62" i="2"/>
  <c r="AB82" i="2"/>
  <c r="AB102" i="2"/>
  <c r="AB122" i="2"/>
  <c r="AB142" i="2"/>
  <c r="AB162" i="2"/>
  <c r="AB182" i="2"/>
  <c r="AB202" i="2"/>
  <c r="AB222" i="2"/>
  <c r="AB3" i="2"/>
  <c r="AB23" i="2"/>
  <c r="AB43" i="2"/>
  <c r="AB63" i="2"/>
  <c r="AB83" i="2"/>
  <c r="AB103" i="2"/>
  <c r="AB123" i="2"/>
  <c r="AB143" i="2"/>
  <c r="AB163" i="2"/>
  <c r="AB183" i="2"/>
  <c r="AB203" i="2"/>
  <c r="AB223" i="2"/>
  <c r="AB4" i="2"/>
  <c r="AB24" i="2"/>
  <c r="AB44" i="2"/>
  <c r="AB64" i="2"/>
  <c r="AB84" i="2"/>
  <c r="AB104" i="2"/>
  <c r="AB124" i="2"/>
  <c r="AB144" i="2"/>
  <c r="AB164" i="2"/>
  <c r="AB184" i="2"/>
  <c r="AB204" i="2"/>
  <c r="AB224" i="2"/>
  <c r="AB5" i="2"/>
  <c r="AB25" i="2"/>
  <c r="AB45" i="2"/>
  <c r="AB65" i="2"/>
  <c r="AB85" i="2"/>
  <c r="AB105" i="2"/>
  <c r="AB125" i="2"/>
  <c r="AB145" i="2"/>
  <c r="AB165" i="2"/>
  <c r="AB185" i="2"/>
  <c r="AB205" i="2"/>
  <c r="AB225" i="2"/>
  <c r="AB6" i="2"/>
  <c r="AB26" i="2"/>
  <c r="AB46" i="2"/>
  <c r="AB66" i="2"/>
  <c r="AB86" i="2"/>
  <c r="AB106" i="2"/>
  <c r="AB126" i="2"/>
  <c r="AB146" i="2"/>
  <c r="AB166" i="2"/>
  <c r="AB186" i="2"/>
  <c r="AB206" i="2"/>
  <c r="AB226" i="2"/>
  <c r="AB7" i="2"/>
  <c r="AB27" i="2"/>
  <c r="AB47" i="2"/>
  <c r="AB67" i="2"/>
  <c r="AB87" i="2"/>
  <c r="AB107" i="2"/>
  <c r="AB127" i="2"/>
  <c r="AB147" i="2"/>
  <c r="AB167" i="2"/>
  <c r="AB187" i="2"/>
  <c r="AB207" i="2"/>
  <c r="AB227" i="2"/>
  <c r="AB8" i="2"/>
  <c r="AB28" i="2"/>
  <c r="AB48" i="2"/>
  <c r="AB68" i="2"/>
  <c r="AB88" i="2"/>
  <c r="AB108" i="2"/>
  <c r="AB128" i="2"/>
  <c r="AB148" i="2"/>
  <c r="AB168" i="2"/>
  <c r="AB188" i="2"/>
  <c r="AB208" i="2"/>
  <c r="AB228" i="2"/>
  <c r="AB9" i="2"/>
  <c r="AB29" i="2"/>
  <c r="AB49" i="2"/>
  <c r="AB69" i="2"/>
  <c r="AB89" i="2"/>
  <c r="AB109" i="2"/>
  <c r="AB129" i="2"/>
  <c r="AB149" i="2"/>
  <c r="AB169" i="2"/>
  <c r="AB189" i="2"/>
  <c r="AB209" i="2"/>
  <c r="AB229" i="2"/>
  <c r="AB10" i="2"/>
  <c r="AB30" i="2"/>
  <c r="AB50" i="2"/>
  <c r="AB70" i="2"/>
  <c r="AB90" i="2"/>
  <c r="AB110" i="2"/>
  <c r="AB130" i="2"/>
  <c r="AB150" i="2"/>
  <c r="AB170" i="2"/>
  <c r="AB190" i="2"/>
  <c r="AB210" i="2"/>
  <c r="AB230" i="2"/>
  <c r="AB11" i="2"/>
  <c r="AB31" i="2"/>
  <c r="AB51" i="2"/>
  <c r="AB71" i="2"/>
  <c r="AB91" i="2"/>
  <c r="AB111" i="2"/>
  <c r="AB131" i="2"/>
  <c r="AB151" i="2"/>
  <c r="AB171" i="2"/>
  <c r="AB191" i="2"/>
  <c r="AB211" i="2"/>
  <c r="AB231" i="2"/>
  <c r="AB12" i="2"/>
  <c r="AB32" i="2"/>
  <c r="AB52" i="2"/>
  <c r="AB72" i="2"/>
  <c r="AB92" i="2"/>
  <c r="AB112" i="2"/>
  <c r="AB132" i="2"/>
  <c r="AB152" i="2"/>
  <c r="AB172" i="2"/>
  <c r="AB192" i="2"/>
  <c r="AB212" i="2"/>
  <c r="AB232" i="2"/>
  <c r="AB13" i="2"/>
  <c r="AB33" i="2"/>
  <c r="AB53" i="2"/>
  <c r="AB73" i="2"/>
  <c r="AB93" i="2"/>
  <c r="AB113" i="2"/>
  <c r="AB133" i="2"/>
  <c r="AB153" i="2"/>
  <c r="AB173" i="2"/>
  <c r="AB193" i="2"/>
  <c r="AB213" i="2"/>
  <c r="AB233" i="2"/>
  <c r="AB14" i="2"/>
  <c r="AB34" i="2"/>
  <c r="AB54" i="2"/>
  <c r="AB74" i="2"/>
  <c r="AB94" i="2"/>
  <c r="AB114" i="2"/>
  <c r="AB134" i="2"/>
  <c r="AB154" i="2"/>
  <c r="AB174" i="2"/>
  <c r="AB194" i="2"/>
  <c r="AB214" i="2"/>
  <c r="AB234" i="2"/>
  <c r="AB15" i="2"/>
  <c r="AB35" i="2"/>
  <c r="AB55" i="2"/>
  <c r="AB75" i="2"/>
  <c r="AB95" i="2"/>
  <c r="AB115" i="2"/>
  <c r="AB135" i="2"/>
  <c r="AB155" i="2"/>
  <c r="AB175" i="2"/>
  <c r="AB195" i="2"/>
  <c r="AB215" i="2"/>
  <c r="AB235" i="2"/>
  <c r="AB16" i="2"/>
  <c r="AB36" i="2"/>
  <c r="AB56" i="2"/>
  <c r="AB76" i="2"/>
  <c r="AB96" i="2"/>
  <c r="AB116" i="2"/>
  <c r="AB136" i="2"/>
  <c r="AB156" i="2"/>
  <c r="AB176" i="2"/>
  <c r="AB196" i="2"/>
  <c r="AB216" i="2"/>
  <c r="AB236" i="2"/>
  <c r="AB17" i="2"/>
  <c r="AB37" i="2"/>
  <c r="AB57" i="2"/>
  <c r="AB77" i="2"/>
  <c r="AB97" i="2"/>
  <c r="AB117" i="2"/>
  <c r="AB137" i="2"/>
  <c r="AB157" i="2"/>
  <c r="AB177" i="2"/>
  <c r="AB197" i="2"/>
  <c r="AB217" i="2"/>
  <c r="AB237" i="2"/>
  <c r="AB18" i="2"/>
  <c r="AB38" i="2"/>
  <c r="AB58" i="2"/>
  <c r="AB78" i="2"/>
  <c r="AB98" i="2"/>
  <c r="AB118" i="2"/>
  <c r="AB138" i="2"/>
  <c r="AB158" i="2"/>
  <c r="AB178" i="2"/>
  <c r="AB198" i="2"/>
  <c r="AB218" i="2"/>
  <c r="AB238" i="2"/>
  <c r="AB19" i="2"/>
  <c r="AB39" i="2"/>
  <c r="AB59" i="2"/>
  <c r="AB79" i="2"/>
  <c r="AB99" i="2"/>
  <c r="AB119" i="2"/>
  <c r="AB139" i="2"/>
  <c r="AB159" i="2"/>
  <c r="AB179" i="2"/>
  <c r="AB199" i="2"/>
  <c r="AB219" i="2"/>
  <c r="AB239" i="2"/>
  <c r="AB20" i="2"/>
  <c r="AB40" i="2"/>
  <c r="AB60" i="2"/>
  <c r="AB80" i="2"/>
  <c r="AB100" i="2"/>
  <c r="AB120" i="2"/>
  <c r="AB140" i="2"/>
  <c r="AB160" i="2"/>
  <c r="AB180" i="2"/>
  <c r="AB200" i="2"/>
  <c r="AB220" i="2"/>
  <c r="AB240" i="2"/>
  <c r="AB21" i="2"/>
  <c r="AB41" i="2"/>
  <c r="AB61" i="2"/>
  <c r="AB81" i="2"/>
  <c r="AB101" i="2"/>
  <c r="AB121" i="2"/>
  <c r="AB141" i="2"/>
  <c r="AB161" i="2"/>
  <c r="AB181" i="2"/>
  <c r="AB201" i="2"/>
  <c r="AB221" i="2"/>
  <c r="AB241" i="2"/>
  <c r="AA2" i="2"/>
  <c r="AB2" i="2"/>
  <c r="Z242" i="2"/>
  <c r="O22" i="2"/>
  <c r="AD22" i="2" s="1"/>
  <c r="O42" i="2"/>
  <c r="AD42" i="2" s="1"/>
  <c r="O62" i="2"/>
  <c r="AD62" i="2" s="1"/>
  <c r="O82" i="2"/>
  <c r="AD82" i="2" s="1"/>
  <c r="O102" i="2"/>
  <c r="AD102" i="2" s="1"/>
  <c r="O122" i="2"/>
  <c r="AD122" i="2" s="1"/>
  <c r="O142" i="2"/>
  <c r="AD142" i="2" s="1"/>
  <c r="O162" i="2"/>
  <c r="AD162" i="2" s="1"/>
  <c r="O182" i="2"/>
  <c r="AD182" i="2" s="1"/>
  <c r="O202" i="2"/>
  <c r="AD202" i="2" s="1"/>
  <c r="O222" i="2"/>
  <c r="AD222" i="2" s="1"/>
  <c r="O3" i="2"/>
  <c r="AD3" i="2" s="1"/>
  <c r="O23" i="2"/>
  <c r="AD23" i="2" s="1"/>
  <c r="O43" i="2"/>
  <c r="AD43" i="2" s="1"/>
  <c r="O63" i="2"/>
  <c r="AD63" i="2" s="1"/>
  <c r="O83" i="2"/>
  <c r="AD83" i="2" s="1"/>
  <c r="O103" i="2"/>
  <c r="AD103" i="2" s="1"/>
  <c r="O123" i="2"/>
  <c r="AD123" i="2" s="1"/>
  <c r="O143" i="2"/>
  <c r="AD143" i="2" s="1"/>
  <c r="O163" i="2"/>
  <c r="AD163" i="2" s="1"/>
  <c r="O183" i="2"/>
  <c r="AD183" i="2" s="1"/>
  <c r="O203" i="2"/>
  <c r="AD203" i="2" s="1"/>
  <c r="O223" i="2"/>
  <c r="AD223" i="2" s="1"/>
  <c r="O4" i="2"/>
  <c r="AD4" i="2" s="1"/>
  <c r="O24" i="2"/>
  <c r="AD24" i="2" s="1"/>
  <c r="O44" i="2"/>
  <c r="AD44" i="2" s="1"/>
  <c r="O64" i="2"/>
  <c r="AD64" i="2" s="1"/>
  <c r="O84" i="2"/>
  <c r="AD84" i="2" s="1"/>
  <c r="O104" i="2"/>
  <c r="AD104" i="2" s="1"/>
  <c r="O124" i="2"/>
  <c r="AD124" i="2" s="1"/>
  <c r="O144" i="2"/>
  <c r="AD144" i="2" s="1"/>
  <c r="O164" i="2"/>
  <c r="AD164" i="2" s="1"/>
  <c r="O184" i="2"/>
  <c r="AD184" i="2" s="1"/>
  <c r="O204" i="2"/>
  <c r="AD204" i="2" s="1"/>
  <c r="O224" i="2"/>
  <c r="AD224" i="2" s="1"/>
  <c r="O5" i="2"/>
  <c r="AD5" i="2" s="1"/>
  <c r="O25" i="2"/>
  <c r="AD25" i="2" s="1"/>
  <c r="O45" i="2"/>
  <c r="AD45" i="2" s="1"/>
  <c r="O65" i="2"/>
  <c r="AD65" i="2" s="1"/>
  <c r="O85" i="2"/>
  <c r="AD85" i="2" s="1"/>
  <c r="O105" i="2"/>
  <c r="AD105" i="2" s="1"/>
  <c r="O125" i="2"/>
  <c r="AD125" i="2" s="1"/>
  <c r="O145" i="2"/>
  <c r="AD145" i="2" s="1"/>
  <c r="O165" i="2"/>
  <c r="AD165" i="2" s="1"/>
  <c r="O185" i="2"/>
  <c r="AD185" i="2" s="1"/>
  <c r="O205" i="2"/>
  <c r="AD205" i="2" s="1"/>
  <c r="O225" i="2"/>
  <c r="AD225" i="2" s="1"/>
  <c r="O6" i="2"/>
  <c r="AD6" i="2" s="1"/>
  <c r="O26" i="2"/>
  <c r="AD26" i="2" s="1"/>
  <c r="O46" i="2"/>
  <c r="AD46" i="2" s="1"/>
  <c r="O66" i="2"/>
  <c r="AD66" i="2" s="1"/>
  <c r="O86" i="2"/>
  <c r="AD86" i="2" s="1"/>
  <c r="O106" i="2"/>
  <c r="AD106" i="2" s="1"/>
  <c r="O126" i="2"/>
  <c r="AD126" i="2" s="1"/>
  <c r="O146" i="2"/>
  <c r="AD146" i="2" s="1"/>
  <c r="O166" i="2"/>
  <c r="AD166" i="2" s="1"/>
  <c r="O186" i="2"/>
  <c r="AD186" i="2" s="1"/>
  <c r="O206" i="2"/>
  <c r="AD206" i="2" s="1"/>
  <c r="O226" i="2"/>
  <c r="AD226" i="2" s="1"/>
  <c r="O7" i="2"/>
  <c r="AD7" i="2" s="1"/>
  <c r="O27" i="2"/>
  <c r="AD27" i="2" s="1"/>
  <c r="O47" i="2"/>
  <c r="AD47" i="2" s="1"/>
  <c r="O67" i="2"/>
  <c r="AD67" i="2" s="1"/>
  <c r="O87" i="2"/>
  <c r="AD87" i="2" s="1"/>
  <c r="O107" i="2"/>
  <c r="AD107" i="2" s="1"/>
  <c r="O127" i="2"/>
  <c r="AD127" i="2" s="1"/>
  <c r="O147" i="2"/>
  <c r="AD147" i="2" s="1"/>
  <c r="O167" i="2"/>
  <c r="AD167" i="2" s="1"/>
  <c r="O187" i="2"/>
  <c r="AD187" i="2" s="1"/>
  <c r="O207" i="2"/>
  <c r="AD207" i="2" s="1"/>
  <c r="O227" i="2"/>
  <c r="AD227" i="2" s="1"/>
  <c r="O8" i="2"/>
  <c r="AD8" i="2" s="1"/>
  <c r="O28" i="2"/>
  <c r="AD28" i="2" s="1"/>
  <c r="O48" i="2"/>
  <c r="AD48" i="2" s="1"/>
  <c r="O68" i="2"/>
  <c r="AD68" i="2" s="1"/>
  <c r="O88" i="2"/>
  <c r="AD88" i="2" s="1"/>
  <c r="O108" i="2"/>
  <c r="AD108" i="2" s="1"/>
  <c r="O128" i="2"/>
  <c r="AD128" i="2" s="1"/>
  <c r="O148" i="2"/>
  <c r="AD148" i="2" s="1"/>
  <c r="O168" i="2"/>
  <c r="AD168" i="2" s="1"/>
  <c r="O188" i="2"/>
  <c r="AD188" i="2" s="1"/>
  <c r="O208" i="2"/>
  <c r="AD208" i="2" s="1"/>
  <c r="O228" i="2"/>
  <c r="AD228" i="2" s="1"/>
  <c r="O9" i="2"/>
  <c r="AD9" i="2" s="1"/>
  <c r="O29" i="2"/>
  <c r="AD29" i="2" s="1"/>
  <c r="O49" i="2"/>
  <c r="AD49" i="2" s="1"/>
  <c r="O69" i="2"/>
  <c r="AD69" i="2" s="1"/>
  <c r="O89" i="2"/>
  <c r="AD89" i="2" s="1"/>
  <c r="O109" i="2"/>
  <c r="AD109" i="2" s="1"/>
  <c r="O129" i="2"/>
  <c r="AD129" i="2" s="1"/>
  <c r="O149" i="2"/>
  <c r="AD149" i="2" s="1"/>
  <c r="O169" i="2"/>
  <c r="AD169" i="2" s="1"/>
  <c r="O189" i="2"/>
  <c r="AD189" i="2" s="1"/>
  <c r="O209" i="2"/>
  <c r="AD209" i="2" s="1"/>
  <c r="O229" i="2"/>
  <c r="AD229" i="2" s="1"/>
  <c r="O10" i="2"/>
  <c r="AD10" i="2" s="1"/>
  <c r="O30" i="2"/>
  <c r="AD30" i="2" s="1"/>
  <c r="O50" i="2"/>
  <c r="AD50" i="2" s="1"/>
  <c r="O70" i="2"/>
  <c r="AD70" i="2" s="1"/>
  <c r="O90" i="2"/>
  <c r="AD90" i="2" s="1"/>
  <c r="O110" i="2"/>
  <c r="AD110" i="2" s="1"/>
  <c r="O130" i="2"/>
  <c r="AD130" i="2" s="1"/>
  <c r="O150" i="2"/>
  <c r="AD150" i="2" s="1"/>
  <c r="O170" i="2"/>
  <c r="AD170" i="2" s="1"/>
  <c r="O190" i="2"/>
  <c r="AD190" i="2" s="1"/>
  <c r="O210" i="2"/>
  <c r="AD210" i="2" s="1"/>
  <c r="O230" i="2"/>
  <c r="AD230" i="2" s="1"/>
  <c r="O11" i="2"/>
  <c r="AD11" i="2" s="1"/>
  <c r="O31" i="2"/>
  <c r="AD31" i="2" s="1"/>
  <c r="O51" i="2"/>
  <c r="AD51" i="2" s="1"/>
  <c r="O71" i="2"/>
  <c r="AD71" i="2" s="1"/>
  <c r="O91" i="2"/>
  <c r="AD91" i="2" s="1"/>
  <c r="O111" i="2"/>
  <c r="AD111" i="2" s="1"/>
  <c r="O131" i="2"/>
  <c r="AD131" i="2" s="1"/>
  <c r="O151" i="2"/>
  <c r="AD151" i="2" s="1"/>
  <c r="O171" i="2"/>
  <c r="AD171" i="2" s="1"/>
  <c r="O191" i="2"/>
  <c r="AD191" i="2" s="1"/>
  <c r="O211" i="2"/>
  <c r="AD211" i="2" s="1"/>
  <c r="O231" i="2"/>
  <c r="AD231" i="2" s="1"/>
  <c r="O12" i="2"/>
  <c r="AD12" i="2" s="1"/>
  <c r="O32" i="2"/>
  <c r="AD32" i="2" s="1"/>
  <c r="O52" i="2"/>
  <c r="AD52" i="2" s="1"/>
  <c r="O72" i="2"/>
  <c r="AD72" i="2" s="1"/>
  <c r="O92" i="2"/>
  <c r="AD92" i="2" s="1"/>
  <c r="O112" i="2"/>
  <c r="AD112" i="2" s="1"/>
  <c r="O132" i="2"/>
  <c r="AD132" i="2" s="1"/>
  <c r="O152" i="2"/>
  <c r="AD152" i="2" s="1"/>
  <c r="O172" i="2"/>
  <c r="AD172" i="2" s="1"/>
  <c r="O192" i="2"/>
  <c r="AD192" i="2" s="1"/>
  <c r="O212" i="2"/>
  <c r="AD212" i="2" s="1"/>
  <c r="O232" i="2"/>
  <c r="AD232" i="2" s="1"/>
  <c r="O13" i="2"/>
  <c r="AD13" i="2" s="1"/>
  <c r="O33" i="2"/>
  <c r="AD33" i="2" s="1"/>
  <c r="O53" i="2"/>
  <c r="AD53" i="2" s="1"/>
  <c r="O73" i="2"/>
  <c r="AD73" i="2" s="1"/>
  <c r="O93" i="2"/>
  <c r="AD93" i="2" s="1"/>
  <c r="O113" i="2"/>
  <c r="AD113" i="2" s="1"/>
  <c r="O133" i="2"/>
  <c r="AD133" i="2" s="1"/>
  <c r="O153" i="2"/>
  <c r="AD153" i="2" s="1"/>
  <c r="O173" i="2"/>
  <c r="AD173" i="2" s="1"/>
  <c r="O193" i="2"/>
  <c r="AD193" i="2" s="1"/>
  <c r="O213" i="2"/>
  <c r="AD213" i="2" s="1"/>
  <c r="O233" i="2"/>
  <c r="AD233" i="2" s="1"/>
  <c r="O14" i="2"/>
  <c r="AD14" i="2" s="1"/>
  <c r="O34" i="2"/>
  <c r="AD34" i="2" s="1"/>
  <c r="O54" i="2"/>
  <c r="AD54" i="2" s="1"/>
  <c r="O74" i="2"/>
  <c r="AD74" i="2" s="1"/>
  <c r="O94" i="2"/>
  <c r="AD94" i="2" s="1"/>
  <c r="O114" i="2"/>
  <c r="AD114" i="2" s="1"/>
  <c r="O134" i="2"/>
  <c r="AD134" i="2" s="1"/>
  <c r="O154" i="2"/>
  <c r="AD154" i="2" s="1"/>
  <c r="O174" i="2"/>
  <c r="AD174" i="2" s="1"/>
  <c r="O194" i="2"/>
  <c r="AD194" i="2" s="1"/>
  <c r="O214" i="2"/>
  <c r="AD214" i="2" s="1"/>
  <c r="O234" i="2"/>
  <c r="AD234" i="2" s="1"/>
  <c r="O15" i="2"/>
  <c r="AD15" i="2" s="1"/>
  <c r="O35" i="2"/>
  <c r="AD35" i="2" s="1"/>
  <c r="O55" i="2"/>
  <c r="AD55" i="2" s="1"/>
  <c r="O75" i="2"/>
  <c r="AD75" i="2" s="1"/>
  <c r="O95" i="2"/>
  <c r="AD95" i="2" s="1"/>
  <c r="O115" i="2"/>
  <c r="AD115" i="2" s="1"/>
  <c r="O135" i="2"/>
  <c r="AD135" i="2" s="1"/>
  <c r="O155" i="2"/>
  <c r="AD155" i="2" s="1"/>
  <c r="O175" i="2"/>
  <c r="AD175" i="2" s="1"/>
  <c r="O195" i="2"/>
  <c r="AD195" i="2" s="1"/>
  <c r="O215" i="2"/>
  <c r="AD215" i="2" s="1"/>
  <c r="O235" i="2"/>
  <c r="AD235" i="2" s="1"/>
  <c r="O16" i="2"/>
  <c r="AD16" i="2" s="1"/>
  <c r="O36" i="2"/>
  <c r="AD36" i="2" s="1"/>
  <c r="O56" i="2"/>
  <c r="AD56" i="2" s="1"/>
  <c r="O76" i="2"/>
  <c r="AD76" i="2" s="1"/>
  <c r="O96" i="2"/>
  <c r="AD96" i="2" s="1"/>
  <c r="O116" i="2"/>
  <c r="AD116" i="2" s="1"/>
  <c r="O136" i="2"/>
  <c r="AD136" i="2" s="1"/>
  <c r="O156" i="2"/>
  <c r="AD156" i="2" s="1"/>
  <c r="O176" i="2"/>
  <c r="AD176" i="2" s="1"/>
  <c r="O196" i="2"/>
  <c r="AD196" i="2" s="1"/>
  <c r="O216" i="2"/>
  <c r="AD216" i="2" s="1"/>
  <c r="O236" i="2"/>
  <c r="AD236" i="2" s="1"/>
  <c r="O17" i="2"/>
  <c r="AD17" i="2" s="1"/>
  <c r="O37" i="2"/>
  <c r="AD37" i="2" s="1"/>
  <c r="O57" i="2"/>
  <c r="AD57" i="2" s="1"/>
  <c r="O77" i="2"/>
  <c r="AD77" i="2" s="1"/>
  <c r="O97" i="2"/>
  <c r="AD97" i="2" s="1"/>
  <c r="O117" i="2"/>
  <c r="AD117" i="2" s="1"/>
  <c r="O137" i="2"/>
  <c r="AD137" i="2" s="1"/>
  <c r="O157" i="2"/>
  <c r="AD157" i="2" s="1"/>
  <c r="O177" i="2"/>
  <c r="AD177" i="2" s="1"/>
  <c r="O197" i="2"/>
  <c r="AD197" i="2" s="1"/>
  <c r="O217" i="2"/>
  <c r="AD217" i="2" s="1"/>
  <c r="O237" i="2"/>
  <c r="AD237" i="2" s="1"/>
  <c r="O18" i="2"/>
  <c r="AD18" i="2" s="1"/>
  <c r="O38" i="2"/>
  <c r="AD38" i="2" s="1"/>
  <c r="O58" i="2"/>
  <c r="AD58" i="2" s="1"/>
  <c r="O78" i="2"/>
  <c r="AD78" i="2" s="1"/>
  <c r="O98" i="2"/>
  <c r="AD98" i="2" s="1"/>
  <c r="O118" i="2"/>
  <c r="AD118" i="2" s="1"/>
  <c r="O138" i="2"/>
  <c r="AD138" i="2" s="1"/>
  <c r="O158" i="2"/>
  <c r="AD158" i="2" s="1"/>
  <c r="O178" i="2"/>
  <c r="AD178" i="2" s="1"/>
  <c r="O198" i="2"/>
  <c r="AD198" i="2" s="1"/>
  <c r="O218" i="2"/>
  <c r="AD218" i="2" s="1"/>
  <c r="O238" i="2"/>
  <c r="AD238" i="2" s="1"/>
  <c r="O19" i="2"/>
  <c r="AD19" i="2" s="1"/>
  <c r="O39" i="2"/>
  <c r="AD39" i="2" s="1"/>
  <c r="O59" i="2"/>
  <c r="AD59" i="2" s="1"/>
  <c r="O79" i="2"/>
  <c r="AD79" i="2" s="1"/>
  <c r="O99" i="2"/>
  <c r="AD99" i="2" s="1"/>
  <c r="O119" i="2"/>
  <c r="AD119" i="2" s="1"/>
  <c r="O139" i="2"/>
  <c r="AD139" i="2" s="1"/>
  <c r="O159" i="2"/>
  <c r="AD159" i="2" s="1"/>
  <c r="O179" i="2"/>
  <c r="AD179" i="2" s="1"/>
  <c r="O199" i="2"/>
  <c r="AD199" i="2" s="1"/>
  <c r="O219" i="2"/>
  <c r="AD219" i="2" s="1"/>
  <c r="O239" i="2"/>
  <c r="AD239" i="2" s="1"/>
  <c r="O20" i="2"/>
  <c r="AD20" i="2" s="1"/>
  <c r="O40" i="2"/>
  <c r="AD40" i="2" s="1"/>
  <c r="O60" i="2"/>
  <c r="AD60" i="2" s="1"/>
  <c r="O80" i="2"/>
  <c r="AD80" i="2" s="1"/>
  <c r="O100" i="2"/>
  <c r="AD100" i="2" s="1"/>
  <c r="O120" i="2"/>
  <c r="AD120" i="2" s="1"/>
  <c r="O140" i="2"/>
  <c r="AD140" i="2" s="1"/>
  <c r="O160" i="2"/>
  <c r="AD160" i="2" s="1"/>
  <c r="O180" i="2"/>
  <c r="AD180" i="2" s="1"/>
  <c r="O200" i="2"/>
  <c r="AD200" i="2" s="1"/>
  <c r="O220" i="2"/>
  <c r="AD220" i="2" s="1"/>
  <c r="O240" i="2"/>
  <c r="AD240" i="2" s="1"/>
  <c r="O21" i="2"/>
  <c r="AD21" i="2" s="1"/>
  <c r="O41" i="2"/>
  <c r="AD41" i="2" s="1"/>
  <c r="O61" i="2"/>
  <c r="AD61" i="2" s="1"/>
  <c r="O81" i="2"/>
  <c r="AD81" i="2" s="1"/>
  <c r="O101" i="2"/>
  <c r="AD101" i="2" s="1"/>
  <c r="O121" i="2"/>
  <c r="AD121" i="2" s="1"/>
  <c r="O141" i="2"/>
  <c r="AD141" i="2" s="1"/>
  <c r="O161" i="2"/>
  <c r="AD161" i="2" s="1"/>
  <c r="O181" i="2"/>
  <c r="AD181" i="2" s="1"/>
  <c r="O201" i="2"/>
  <c r="AD201" i="2" s="1"/>
  <c r="O221" i="2"/>
  <c r="AD221" i="2" s="1"/>
  <c r="O241" i="2"/>
  <c r="AD241" i="2" s="1"/>
  <c r="N22" i="2"/>
  <c r="AE22" i="2" s="1"/>
  <c r="N42" i="2"/>
  <c r="AE42" i="2" s="1"/>
  <c r="N62" i="2"/>
  <c r="AE62" i="2" s="1"/>
  <c r="N82" i="2"/>
  <c r="AE82" i="2" s="1"/>
  <c r="N102" i="2"/>
  <c r="AE102" i="2" s="1"/>
  <c r="N122" i="2"/>
  <c r="AE122" i="2" s="1"/>
  <c r="N142" i="2"/>
  <c r="AE142" i="2" s="1"/>
  <c r="N162" i="2"/>
  <c r="AE162" i="2" s="1"/>
  <c r="N182" i="2"/>
  <c r="AE182" i="2" s="1"/>
  <c r="N202" i="2"/>
  <c r="AE202" i="2" s="1"/>
  <c r="N222" i="2"/>
  <c r="AE222" i="2" s="1"/>
  <c r="N3" i="2"/>
  <c r="AE3" i="2" s="1"/>
  <c r="N23" i="2"/>
  <c r="AE23" i="2" s="1"/>
  <c r="N43" i="2"/>
  <c r="AE43" i="2" s="1"/>
  <c r="N63" i="2"/>
  <c r="AE63" i="2" s="1"/>
  <c r="N83" i="2"/>
  <c r="AE83" i="2" s="1"/>
  <c r="N103" i="2"/>
  <c r="AE103" i="2" s="1"/>
  <c r="N123" i="2"/>
  <c r="AE123" i="2" s="1"/>
  <c r="N143" i="2"/>
  <c r="AE143" i="2" s="1"/>
  <c r="N163" i="2"/>
  <c r="AE163" i="2" s="1"/>
  <c r="N183" i="2"/>
  <c r="AE183" i="2" s="1"/>
  <c r="N203" i="2"/>
  <c r="AE203" i="2" s="1"/>
  <c r="N223" i="2"/>
  <c r="AE223" i="2" s="1"/>
  <c r="N4" i="2"/>
  <c r="AE4" i="2" s="1"/>
  <c r="N24" i="2"/>
  <c r="AE24" i="2" s="1"/>
  <c r="N44" i="2"/>
  <c r="AE44" i="2" s="1"/>
  <c r="N64" i="2"/>
  <c r="AE64" i="2" s="1"/>
  <c r="N84" i="2"/>
  <c r="AE84" i="2" s="1"/>
  <c r="N104" i="2"/>
  <c r="AE104" i="2" s="1"/>
  <c r="N124" i="2"/>
  <c r="AE124" i="2" s="1"/>
  <c r="N144" i="2"/>
  <c r="AE144" i="2" s="1"/>
  <c r="N164" i="2"/>
  <c r="AE164" i="2" s="1"/>
  <c r="N184" i="2"/>
  <c r="AE184" i="2" s="1"/>
  <c r="N204" i="2"/>
  <c r="AE204" i="2" s="1"/>
  <c r="N224" i="2"/>
  <c r="AE224" i="2" s="1"/>
  <c r="N5" i="2"/>
  <c r="AE5" i="2" s="1"/>
  <c r="N25" i="2"/>
  <c r="AE25" i="2" s="1"/>
  <c r="N45" i="2"/>
  <c r="AE45" i="2" s="1"/>
  <c r="N65" i="2"/>
  <c r="AE65" i="2" s="1"/>
  <c r="N85" i="2"/>
  <c r="AE85" i="2" s="1"/>
  <c r="N105" i="2"/>
  <c r="AE105" i="2" s="1"/>
  <c r="N125" i="2"/>
  <c r="AE125" i="2" s="1"/>
  <c r="N145" i="2"/>
  <c r="AE145" i="2" s="1"/>
  <c r="N165" i="2"/>
  <c r="AE165" i="2" s="1"/>
  <c r="N185" i="2"/>
  <c r="AE185" i="2" s="1"/>
  <c r="N205" i="2"/>
  <c r="AE205" i="2" s="1"/>
  <c r="N225" i="2"/>
  <c r="AE225" i="2" s="1"/>
  <c r="N6" i="2"/>
  <c r="AE6" i="2" s="1"/>
  <c r="N26" i="2"/>
  <c r="AE26" i="2" s="1"/>
  <c r="N46" i="2"/>
  <c r="AE46" i="2" s="1"/>
  <c r="N66" i="2"/>
  <c r="AE66" i="2" s="1"/>
  <c r="N86" i="2"/>
  <c r="AE86" i="2" s="1"/>
  <c r="N106" i="2"/>
  <c r="AE106" i="2" s="1"/>
  <c r="N126" i="2"/>
  <c r="AE126" i="2" s="1"/>
  <c r="N146" i="2"/>
  <c r="AE146" i="2" s="1"/>
  <c r="N166" i="2"/>
  <c r="AE166" i="2" s="1"/>
  <c r="N186" i="2"/>
  <c r="AE186" i="2" s="1"/>
  <c r="N206" i="2"/>
  <c r="AE206" i="2" s="1"/>
  <c r="N226" i="2"/>
  <c r="AE226" i="2" s="1"/>
  <c r="N7" i="2"/>
  <c r="AE7" i="2" s="1"/>
  <c r="N27" i="2"/>
  <c r="AE27" i="2" s="1"/>
  <c r="N47" i="2"/>
  <c r="AE47" i="2" s="1"/>
  <c r="N67" i="2"/>
  <c r="AE67" i="2" s="1"/>
  <c r="N87" i="2"/>
  <c r="AE87" i="2" s="1"/>
  <c r="N107" i="2"/>
  <c r="AE107" i="2" s="1"/>
  <c r="N127" i="2"/>
  <c r="AE127" i="2" s="1"/>
  <c r="N147" i="2"/>
  <c r="AE147" i="2" s="1"/>
  <c r="N167" i="2"/>
  <c r="AE167" i="2" s="1"/>
  <c r="N187" i="2"/>
  <c r="AE187" i="2" s="1"/>
  <c r="N207" i="2"/>
  <c r="AE207" i="2" s="1"/>
  <c r="N227" i="2"/>
  <c r="AE227" i="2" s="1"/>
  <c r="N8" i="2"/>
  <c r="AE8" i="2" s="1"/>
  <c r="N28" i="2"/>
  <c r="AE28" i="2" s="1"/>
  <c r="N48" i="2"/>
  <c r="AE48" i="2" s="1"/>
  <c r="N68" i="2"/>
  <c r="AE68" i="2" s="1"/>
  <c r="N88" i="2"/>
  <c r="AE88" i="2" s="1"/>
  <c r="N108" i="2"/>
  <c r="AE108" i="2" s="1"/>
  <c r="N128" i="2"/>
  <c r="AE128" i="2" s="1"/>
  <c r="N148" i="2"/>
  <c r="AE148" i="2" s="1"/>
  <c r="N168" i="2"/>
  <c r="AE168" i="2" s="1"/>
  <c r="N188" i="2"/>
  <c r="AE188" i="2" s="1"/>
  <c r="N208" i="2"/>
  <c r="AE208" i="2" s="1"/>
  <c r="N228" i="2"/>
  <c r="AE228" i="2" s="1"/>
  <c r="N9" i="2"/>
  <c r="AE9" i="2" s="1"/>
  <c r="N29" i="2"/>
  <c r="AE29" i="2" s="1"/>
  <c r="N49" i="2"/>
  <c r="AE49" i="2" s="1"/>
  <c r="N69" i="2"/>
  <c r="AE69" i="2" s="1"/>
  <c r="N89" i="2"/>
  <c r="AE89" i="2" s="1"/>
  <c r="N109" i="2"/>
  <c r="AE109" i="2" s="1"/>
  <c r="N129" i="2"/>
  <c r="AE129" i="2" s="1"/>
  <c r="N149" i="2"/>
  <c r="AE149" i="2" s="1"/>
  <c r="N169" i="2"/>
  <c r="AE169" i="2" s="1"/>
  <c r="N189" i="2"/>
  <c r="AE189" i="2" s="1"/>
  <c r="N209" i="2"/>
  <c r="AE209" i="2" s="1"/>
  <c r="N229" i="2"/>
  <c r="AE229" i="2" s="1"/>
  <c r="N10" i="2"/>
  <c r="AE10" i="2" s="1"/>
  <c r="N30" i="2"/>
  <c r="AE30" i="2" s="1"/>
  <c r="N50" i="2"/>
  <c r="AE50" i="2" s="1"/>
  <c r="N70" i="2"/>
  <c r="AE70" i="2" s="1"/>
  <c r="N90" i="2"/>
  <c r="AE90" i="2" s="1"/>
  <c r="N110" i="2"/>
  <c r="AE110" i="2" s="1"/>
  <c r="N130" i="2"/>
  <c r="AE130" i="2" s="1"/>
  <c r="N150" i="2"/>
  <c r="AE150" i="2" s="1"/>
  <c r="N170" i="2"/>
  <c r="AE170" i="2" s="1"/>
  <c r="N190" i="2"/>
  <c r="AE190" i="2" s="1"/>
  <c r="N210" i="2"/>
  <c r="AE210" i="2" s="1"/>
  <c r="N230" i="2"/>
  <c r="AE230" i="2" s="1"/>
  <c r="N11" i="2"/>
  <c r="AE11" i="2" s="1"/>
  <c r="N31" i="2"/>
  <c r="AE31" i="2" s="1"/>
  <c r="N51" i="2"/>
  <c r="AE51" i="2" s="1"/>
  <c r="N71" i="2"/>
  <c r="AE71" i="2" s="1"/>
  <c r="N91" i="2"/>
  <c r="AE91" i="2" s="1"/>
  <c r="N111" i="2"/>
  <c r="AE111" i="2" s="1"/>
  <c r="N131" i="2"/>
  <c r="AE131" i="2" s="1"/>
  <c r="N151" i="2"/>
  <c r="AE151" i="2" s="1"/>
  <c r="N171" i="2"/>
  <c r="AE171" i="2" s="1"/>
  <c r="N191" i="2"/>
  <c r="AE191" i="2" s="1"/>
  <c r="N211" i="2"/>
  <c r="AE211" i="2" s="1"/>
  <c r="N231" i="2"/>
  <c r="AE231" i="2" s="1"/>
  <c r="N12" i="2"/>
  <c r="AE12" i="2" s="1"/>
  <c r="N32" i="2"/>
  <c r="AE32" i="2" s="1"/>
  <c r="N52" i="2"/>
  <c r="AE52" i="2" s="1"/>
  <c r="N72" i="2"/>
  <c r="AE72" i="2" s="1"/>
  <c r="N92" i="2"/>
  <c r="AE92" i="2" s="1"/>
  <c r="N112" i="2"/>
  <c r="AE112" i="2" s="1"/>
  <c r="N132" i="2"/>
  <c r="AE132" i="2" s="1"/>
  <c r="N152" i="2"/>
  <c r="AE152" i="2" s="1"/>
  <c r="N172" i="2"/>
  <c r="AE172" i="2" s="1"/>
  <c r="N192" i="2"/>
  <c r="AE192" i="2" s="1"/>
  <c r="N212" i="2"/>
  <c r="AE212" i="2" s="1"/>
  <c r="N232" i="2"/>
  <c r="AE232" i="2" s="1"/>
  <c r="N13" i="2"/>
  <c r="AE13" i="2" s="1"/>
  <c r="N33" i="2"/>
  <c r="AE33" i="2" s="1"/>
  <c r="N53" i="2"/>
  <c r="AE53" i="2" s="1"/>
  <c r="N73" i="2"/>
  <c r="AE73" i="2" s="1"/>
  <c r="N93" i="2"/>
  <c r="AE93" i="2" s="1"/>
  <c r="N113" i="2"/>
  <c r="AE113" i="2" s="1"/>
  <c r="N133" i="2"/>
  <c r="AE133" i="2" s="1"/>
  <c r="N153" i="2"/>
  <c r="AE153" i="2" s="1"/>
  <c r="N173" i="2"/>
  <c r="AE173" i="2" s="1"/>
  <c r="N193" i="2"/>
  <c r="AE193" i="2" s="1"/>
  <c r="N213" i="2"/>
  <c r="AE213" i="2" s="1"/>
  <c r="N233" i="2"/>
  <c r="AE233" i="2" s="1"/>
  <c r="N14" i="2"/>
  <c r="AE14" i="2" s="1"/>
  <c r="N34" i="2"/>
  <c r="AE34" i="2" s="1"/>
  <c r="N54" i="2"/>
  <c r="AE54" i="2" s="1"/>
  <c r="N74" i="2"/>
  <c r="AE74" i="2" s="1"/>
  <c r="N94" i="2"/>
  <c r="AE94" i="2" s="1"/>
  <c r="N114" i="2"/>
  <c r="AE114" i="2" s="1"/>
  <c r="N134" i="2"/>
  <c r="AE134" i="2" s="1"/>
  <c r="N154" i="2"/>
  <c r="AE154" i="2" s="1"/>
  <c r="N174" i="2"/>
  <c r="AE174" i="2" s="1"/>
  <c r="N194" i="2"/>
  <c r="AE194" i="2" s="1"/>
  <c r="N214" i="2"/>
  <c r="AE214" i="2" s="1"/>
  <c r="N234" i="2"/>
  <c r="AE234" i="2" s="1"/>
  <c r="N15" i="2"/>
  <c r="AE15" i="2" s="1"/>
  <c r="N35" i="2"/>
  <c r="AE35" i="2" s="1"/>
  <c r="N55" i="2"/>
  <c r="AE55" i="2" s="1"/>
  <c r="N75" i="2"/>
  <c r="AE75" i="2" s="1"/>
  <c r="N95" i="2"/>
  <c r="AE95" i="2" s="1"/>
  <c r="N115" i="2"/>
  <c r="AE115" i="2" s="1"/>
  <c r="N135" i="2"/>
  <c r="AE135" i="2" s="1"/>
  <c r="N155" i="2"/>
  <c r="AE155" i="2" s="1"/>
  <c r="N175" i="2"/>
  <c r="AE175" i="2" s="1"/>
  <c r="N195" i="2"/>
  <c r="AE195" i="2" s="1"/>
  <c r="N215" i="2"/>
  <c r="AE215" i="2" s="1"/>
  <c r="N235" i="2"/>
  <c r="AE235" i="2" s="1"/>
  <c r="N16" i="2"/>
  <c r="AE16" i="2" s="1"/>
  <c r="N36" i="2"/>
  <c r="AE36" i="2" s="1"/>
  <c r="N56" i="2"/>
  <c r="AE56" i="2" s="1"/>
  <c r="N76" i="2"/>
  <c r="AE76" i="2" s="1"/>
  <c r="N96" i="2"/>
  <c r="AE96" i="2" s="1"/>
  <c r="N116" i="2"/>
  <c r="AE116" i="2" s="1"/>
  <c r="N136" i="2"/>
  <c r="AE136" i="2" s="1"/>
  <c r="N156" i="2"/>
  <c r="AE156" i="2" s="1"/>
  <c r="N176" i="2"/>
  <c r="AE176" i="2" s="1"/>
  <c r="N196" i="2"/>
  <c r="AE196" i="2" s="1"/>
  <c r="N216" i="2"/>
  <c r="AE216" i="2" s="1"/>
  <c r="N236" i="2"/>
  <c r="AE236" i="2" s="1"/>
  <c r="N17" i="2"/>
  <c r="AE17" i="2" s="1"/>
  <c r="N37" i="2"/>
  <c r="AE37" i="2" s="1"/>
  <c r="N57" i="2"/>
  <c r="AE57" i="2" s="1"/>
  <c r="N77" i="2"/>
  <c r="AE77" i="2" s="1"/>
  <c r="N97" i="2"/>
  <c r="AE97" i="2" s="1"/>
  <c r="N117" i="2"/>
  <c r="AE117" i="2" s="1"/>
  <c r="N137" i="2"/>
  <c r="AE137" i="2" s="1"/>
  <c r="N157" i="2"/>
  <c r="AE157" i="2" s="1"/>
  <c r="N177" i="2"/>
  <c r="AE177" i="2" s="1"/>
  <c r="N197" i="2"/>
  <c r="AE197" i="2" s="1"/>
  <c r="N217" i="2"/>
  <c r="AE217" i="2" s="1"/>
  <c r="N237" i="2"/>
  <c r="AE237" i="2" s="1"/>
  <c r="N18" i="2"/>
  <c r="AE18" i="2" s="1"/>
  <c r="N38" i="2"/>
  <c r="AE38" i="2" s="1"/>
  <c r="N58" i="2"/>
  <c r="AE58" i="2" s="1"/>
  <c r="N78" i="2"/>
  <c r="AE78" i="2" s="1"/>
  <c r="N98" i="2"/>
  <c r="AE98" i="2" s="1"/>
  <c r="N118" i="2"/>
  <c r="AE118" i="2" s="1"/>
  <c r="N138" i="2"/>
  <c r="AE138" i="2" s="1"/>
  <c r="N158" i="2"/>
  <c r="AE158" i="2" s="1"/>
  <c r="N178" i="2"/>
  <c r="AE178" i="2" s="1"/>
  <c r="N198" i="2"/>
  <c r="AE198" i="2" s="1"/>
  <c r="N218" i="2"/>
  <c r="AE218" i="2" s="1"/>
  <c r="N238" i="2"/>
  <c r="AE238" i="2" s="1"/>
  <c r="N19" i="2"/>
  <c r="AE19" i="2" s="1"/>
  <c r="N39" i="2"/>
  <c r="AE39" i="2" s="1"/>
  <c r="N59" i="2"/>
  <c r="AE59" i="2" s="1"/>
  <c r="N79" i="2"/>
  <c r="AE79" i="2" s="1"/>
  <c r="N99" i="2"/>
  <c r="AE99" i="2" s="1"/>
  <c r="N119" i="2"/>
  <c r="AE119" i="2" s="1"/>
  <c r="N139" i="2"/>
  <c r="AE139" i="2" s="1"/>
  <c r="N159" i="2"/>
  <c r="AE159" i="2" s="1"/>
  <c r="N179" i="2"/>
  <c r="AE179" i="2" s="1"/>
  <c r="N199" i="2"/>
  <c r="AE199" i="2" s="1"/>
  <c r="N219" i="2"/>
  <c r="AE219" i="2" s="1"/>
  <c r="N239" i="2"/>
  <c r="AE239" i="2" s="1"/>
  <c r="N20" i="2"/>
  <c r="AE20" i="2" s="1"/>
  <c r="N40" i="2"/>
  <c r="AE40" i="2" s="1"/>
  <c r="N60" i="2"/>
  <c r="AE60" i="2" s="1"/>
  <c r="N80" i="2"/>
  <c r="AE80" i="2" s="1"/>
  <c r="N100" i="2"/>
  <c r="AE100" i="2" s="1"/>
  <c r="N120" i="2"/>
  <c r="AE120" i="2" s="1"/>
  <c r="N140" i="2"/>
  <c r="AE140" i="2" s="1"/>
  <c r="N160" i="2"/>
  <c r="AE160" i="2" s="1"/>
  <c r="N180" i="2"/>
  <c r="AE180" i="2" s="1"/>
  <c r="N200" i="2"/>
  <c r="AE200" i="2" s="1"/>
  <c r="N220" i="2"/>
  <c r="AE220" i="2" s="1"/>
  <c r="N240" i="2"/>
  <c r="AE240" i="2" s="1"/>
  <c r="N21" i="2"/>
  <c r="AE21" i="2" s="1"/>
  <c r="N41" i="2"/>
  <c r="AE41" i="2" s="1"/>
  <c r="N61" i="2"/>
  <c r="AE61" i="2" s="1"/>
  <c r="N81" i="2"/>
  <c r="AE81" i="2" s="1"/>
  <c r="N101" i="2"/>
  <c r="AE101" i="2" s="1"/>
  <c r="N121" i="2"/>
  <c r="AE121" i="2" s="1"/>
  <c r="N141" i="2"/>
  <c r="AE141" i="2" s="1"/>
  <c r="N161" i="2"/>
  <c r="AE161" i="2" s="1"/>
  <c r="N181" i="2"/>
  <c r="AE181" i="2" s="1"/>
  <c r="N201" i="2"/>
  <c r="AE201" i="2" s="1"/>
  <c r="N221" i="2"/>
  <c r="AE221" i="2" s="1"/>
  <c r="N241" i="2"/>
  <c r="AE241" i="2" s="1"/>
  <c r="H2" i="2"/>
  <c r="I2" i="2"/>
  <c r="H22" i="2"/>
  <c r="I22" i="2"/>
  <c r="H42" i="2"/>
  <c r="I42" i="2"/>
  <c r="H62" i="2"/>
  <c r="I62" i="2"/>
  <c r="H82" i="2"/>
  <c r="I82" i="2"/>
  <c r="H102" i="2"/>
  <c r="I102" i="2"/>
  <c r="H122" i="2"/>
  <c r="I122" i="2"/>
  <c r="H142" i="2"/>
  <c r="I142" i="2"/>
  <c r="H162" i="2"/>
  <c r="I162" i="2"/>
  <c r="H182" i="2"/>
  <c r="I182" i="2"/>
  <c r="H202" i="2"/>
  <c r="I202" i="2"/>
  <c r="H222" i="2"/>
  <c r="I222" i="2"/>
  <c r="H3" i="2"/>
  <c r="I3" i="2"/>
  <c r="H23" i="2"/>
  <c r="I23" i="2"/>
  <c r="H43" i="2"/>
  <c r="I43" i="2"/>
  <c r="H63" i="2"/>
  <c r="I63" i="2"/>
  <c r="H83" i="2"/>
  <c r="I83" i="2"/>
  <c r="H103" i="2"/>
  <c r="I103" i="2"/>
  <c r="H123" i="2"/>
  <c r="I123" i="2"/>
  <c r="H143" i="2"/>
  <c r="I143" i="2"/>
  <c r="H163" i="2"/>
  <c r="I163" i="2"/>
  <c r="H183" i="2"/>
  <c r="I183" i="2"/>
  <c r="H203" i="2"/>
  <c r="I203" i="2"/>
  <c r="H223" i="2"/>
  <c r="I223" i="2"/>
  <c r="H4" i="2"/>
  <c r="I4" i="2"/>
  <c r="H24" i="2"/>
  <c r="I24" i="2"/>
  <c r="H44" i="2"/>
  <c r="I44" i="2"/>
  <c r="H64" i="2"/>
  <c r="I64" i="2"/>
  <c r="H84" i="2"/>
  <c r="I84" i="2"/>
  <c r="H104" i="2"/>
  <c r="I104" i="2"/>
  <c r="H124" i="2"/>
  <c r="I124" i="2"/>
  <c r="H144" i="2"/>
  <c r="I144" i="2"/>
  <c r="H164" i="2"/>
  <c r="I164" i="2"/>
  <c r="H184" i="2"/>
  <c r="I184" i="2"/>
  <c r="H204" i="2"/>
  <c r="I204" i="2"/>
  <c r="H224" i="2"/>
  <c r="I224" i="2"/>
  <c r="H5" i="2"/>
  <c r="I5" i="2"/>
  <c r="H25" i="2"/>
  <c r="I25" i="2"/>
  <c r="H45" i="2"/>
  <c r="I45" i="2"/>
  <c r="H65" i="2"/>
  <c r="I65" i="2"/>
  <c r="H85" i="2"/>
  <c r="I85" i="2"/>
  <c r="H105" i="2"/>
  <c r="I105" i="2"/>
  <c r="H125" i="2"/>
  <c r="I125" i="2"/>
  <c r="H145" i="2"/>
  <c r="I145" i="2"/>
  <c r="H165" i="2"/>
  <c r="I165" i="2"/>
  <c r="H185" i="2"/>
  <c r="I185" i="2"/>
  <c r="H205" i="2"/>
  <c r="I205" i="2"/>
  <c r="H225" i="2"/>
  <c r="I225" i="2"/>
  <c r="H6" i="2"/>
  <c r="I6" i="2"/>
  <c r="H26" i="2"/>
  <c r="I26" i="2"/>
  <c r="H46" i="2"/>
  <c r="I46" i="2"/>
  <c r="H66" i="2"/>
  <c r="I66" i="2"/>
  <c r="H86" i="2"/>
  <c r="I86" i="2"/>
  <c r="H106" i="2"/>
  <c r="I106" i="2"/>
  <c r="H126" i="2"/>
  <c r="I126" i="2"/>
  <c r="H146" i="2"/>
  <c r="I146" i="2"/>
  <c r="H166" i="2"/>
  <c r="I166" i="2"/>
  <c r="H186" i="2"/>
  <c r="I186" i="2"/>
  <c r="H206" i="2"/>
  <c r="I206" i="2"/>
  <c r="H226" i="2"/>
  <c r="I226" i="2"/>
  <c r="H7" i="2"/>
  <c r="I7" i="2"/>
  <c r="H27" i="2"/>
  <c r="I27" i="2"/>
  <c r="H47" i="2"/>
  <c r="I47" i="2"/>
  <c r="H67" i="2"/>
  <c r="I67" i="2"/>
  <c r="H87" i="2"/>
  <c r="I87" i="2"/>
  <c r="H107" i="2"/>
  <c r="I107" i="2"/>
  <c r="H127" i="2"/>
  <c r="I127" i="2"/>
  <c r="H147" i="2"/>
  <c r="I147" i="2"/>
  <c r="H167" i="2"/>
  <c r="I167" i="2"/>
  <c r="H187" i="2"/>
  <c r="I187" i="2"/>
  <c r="H207" i="2"/>
  <c r="I207" i="2"/>
  <c r="H227" i="2"/>
  <c r="I227" i="2"/>
  <c r="H8" i="2"/>
  <c r="I8" i="2"/>
  <c r="H28" i="2"/>
  <c r="I28" i="2"/>
  <c r="H48" i="2"/>
  <c r="I48" i="2"/>
  <c r="H68" i="2"/>
  <c r="I68" i="2"/>
  <c r="H88" i="2"/>
  <c r="I88" i="2"/>
  <c r="H108" i="2"/>
  <c r="I108" i="2"/>
  <c r="H128" i="2"/>
  <c r="I128" i="2"/>
  <c r="H148" i="2"/>
  <c r="I148" i="2"/>
  <c r="H168" i="2"/>
  <c r="I168" i="2"/>
  <c r="H188" i="2"/>
  <c r="I188" i="2"/>
  <c r="H208" i="2"/>
  <c r="I208" i="2"/>
  <c r="H228" i="2"/>
  <c r="I228" i="2"/>
  <c r="H9" i="2"/>
  <c r="I9" i="2"/>
  <c r="H29" i="2"/>
  <c r="I29" i="2"/>
  <c r="H49" i="2"/>
  <c r="I49" i="2"/>
  <c r="H69" i="2"/>
  <c r="I69" i="2"/>
  <c r="H89" i="2"/>
  <c r="I89" i="2"/>
  <c r="H109" i="2"/>
  <c r="I109" i="2"/>
  <c r="H129" i="2"/>
  <c r="I129" i="2"/>
  <c r="H149" i="2"/>
  <c r="I149" i="2"/>
  <c r="H169" i="2"/>
  <c r="I169" i="2"/>
  <c r="H189" i="2"/>
  <c r="I189" i="2"/>
  <c r="H209" i="2"/>
  <c r="I209" i="2"/>
  <c r="H229" i="2"/>
  <c r="I229" i="2"/>
  <c r="H10" i="2"/>
  <c r="I10" i="2"/>
  <c r="H30" i="2"/>
  <c r="I30" i="2"/>
  <c r="H50" i="2"/>
  <c r="I50" i="2"/>
  <c r="H70" i="2"/>
  <c r="I70" i="2"/>
  <c r="H90" i="2"/>
  <c r="I90" i="2"/>
  <c r="H110" i="2"/>
  <c r="I110" i="2"/>
  <c r="H130" i="2"/>
  <c r="I130" i="2"/>
  <c r="H150" i="2"/>
  <c r="I150" i="2"/>
  <c r="H170" i="2"/>
  <c r="I170" i="2"/>
  <c r="H190" i="2"/>
  <c r="I190" i="2"/>
  <c r="H210" i="2"/>
  <c r="I210" i="2"/>
  <c r="H230" i="2"/>
  <c r="I230" i="2"/>
  <c r="H11" i="2"/>
  <c r="I11" i="2"/>
  <c r="H31" i="2"/>
  <c r="I31" i="2"/>
  <c r="H51" i="2"/>
  <c r="I51" i="2"/>
  <c r="H71" i="2"/>
  <c r="I71" i="2"/>
  <c r="H91" i="2"/>
  <c r="I91" i="2"/>
  <c r="H111" i="2"/>
  <c r="I111" i="2"/>
  <c r="H131" i="2"/>
  <c r="I131" i="2"/>
  <c r="H151" i="2"/>
  <c r="I151" i="2"/>
  <c r="H171" i="2"/>
  <c r="I171" i="2"/>
  <c r="H191" i="2"/>
  <c r="I191" i="2"/>
  <c r="H211" i="2"/>
  <c r="I211" i="2"/>
  <c r="H231" i="2"/>
  <c r="I231" i="2"/>
  <c r="H12" i="2"/>
  <c r="I12" i="2"/>
  <c r="H32" i="2"/>
  <c r="I32" i="2"/>
  <c r="H52" i="2"/>
  <c r="I52" i="2"/>
  <c r="H72" i="2"/>
  <c r="I72" i="2"/>
  <c r="H92" i="2"/>
  <c r="I92" i="2"/>
  <c r="H112" i="2"/>
  <c r="I112" i="2"/>
  <c r="H132" i="2"/>
  <c r="I132" i="2"/>
  <c r="H152" i="2"/>
  <c r="I152" i="2"/>
  <c r="H172" i="2"/>
  <c r="I172" i="2"/>
  <c r="H192" i="2"/>
  <c r="I192" i="2"/>
  <c r="H212" i="2"/>
  <c r="I212" i="2"/>
  <c r="H232" i="2"/>
  <c r="I232" i="2"/>
  <c r="H13" i="2"/>
  <c r="I13" i="2"/>
  <c r="H33" i="2"/>
  <c r="I33" i="2"/>
  <c r="H53" i="2"/>
  <c r="I53" i="2"/>
  <c r="H73" i="2"/>
  <c r="I73" i="2"/>
  <c r="H93" i="2"/>
  <c r="I93" i="2"/>
  <c r="H113" i="2"/>
  <c r="I113" i="2"/>
  <c r="H133" i="2"/>
  <c r="I133" i="2"/>
  <c r="H153" i="2"/>
  <c r="I153" i="2"/>
  <c r="H173" i="2"/>
  <c r="I173" i="2"/>
  <c r="H193" i="2"/>
  <c r="I193" i="2"/>
  <c r="H213" i="2"/>
  <c r="I213" i="2"/>
  <c r="H233" i="2"/>
  <c r="I233" i="2"/>
  <c r="H14" i="2"/>
  <c r="I14" i="2"/>
  <c r="H34" i="2"/>
  <c r="I34" i="2"/>
  <c r="H54" i="2"/>
  <c r="I54" i="2"/>
  <c r="H74" i="2"/>
  <c r="I74" i="2"/>
  <c r="H94" i="2"/>
  <c r="I94" i="2"/>
  <c r="H114" i="2"/>
  <c r="I114" i="2"/>
  <c r="H134" i="2"/>
  <c r="I134" i="2"/>
  <c r="H154" i="2"/>
  <c r="I154" i="2"/>
  <c r="H174" i="2"/>
  <c r="I174" i="2"/>
  <c r="H194" i="2"/>
  <c r="I194" i="2"/>
  <c r="H214" i="2"/>
  <c r="I214" i="2"/>
  <c r="H234" i="2"/>
  <c r="I234" i="2"/>
  <c r="H15" i="2"/>
  <c r="I15" i="2"/>
  <c r="H35" i="2"/>
  <c r="I35" i="2"/>
  <c r="H55" i="2"/>
  <c r="I55" i="2"/>
  <c r="H75" i="2"/>
  <c r="I75" i="2"/>
  <c r="H95" i="2"/>
  <c r="I95" i="2"/>
  <c r="H115" i="2"/>
  <c r="I115" i="2"/>
  <c r="H135" i="2"/>
  <c r="I135" i="2"/>
  <c r="H155" i="2"/>
  <c r="I155" i="2"/>
  <c r="H175" i="2"/>
  <c r="I175" i="2"/>
  <c r="H195" i="2"/>
  <c r="I195" i="2"/>
  <c r="H215" i="2"/>
  <c r="I215" i="2"/>
  <c r="H235" i="2"/>
  <c r="I235" i="2"/>
  <c r="H16" i="2"/>
  <c r="I16" i="2"/>
  <c r="H36" i="2"/>
  <c r="I36" i="2"/>
  <c r="H56" i="2"/>
  <c r="I56" i="2"/>
  <c r="H76" i="2"/>
  <c r="I76" i="2"/>
  <c r="H96" i="2"/>
  <c r="I96" i="2"/>
  <c r="H116" i="2"/>
  <c r="I116" i="2"/>
  <c r="H136" i="2"/>
  <c r="I136" i="2"/>
  <c r="H156" i="2"/>
  <c r="I156" i="2"/>
  <c r="H176" i="2"/>
  <c r="I176" i="2"/>
  <c r="H196" i="2"/>
  <c r="I196" i="2"/>
  <c r="H216" i="2"/>
  <c r="I216" i="2"/>
  <c r="H236" i="2"/>
  <c r="I236" i="2"/>
  <c r="H17" i="2"/>
  <c r="I17" i="2"/>
  <c r="H37" i="2"/>
  <c r="I37" i="2"/>
  <c r="H57" i="2"/>
  <c r="I57" i="2"/>
  <c r="H77" i="2"/>
  <c r="I77" i="2"/>
  <c r="H97" i="2"/>
  <c r="I97" i="2"/>
  <c r="H117" i="2"/>
  <c r="I117" i="2"/>
  <c r="H137" i="2"/>
  <c r="I137" i="2"/>
  <c r="H157" i="2"/>
  <c r="I157" i="2"/>
  <c r="H177" i="2"/>
  <c r="I177" i="2"/>
  <c r="H197" i="2"/>
  <c r="I197" i="2"/>
  <c r="H217" i="2"/>
  <c r="I217" i="2"/>
  <c r="H237" i="2"/>
  <c r="I237" i="2"/>
  <c r="H18" i="2"/>
  <c r="I18" i="2"/>
  <c r="H38" i="2"/>
  <c r="I38" i="2"/>
  <c r="H58" i="2"/>
  <c r="I58" i="2"/>
  <c r="H78" i="2"/>
  <c r="I78" i="2"/>
  <c r="H98" i="2"/>
  <c r="I98" i="2"/>
  <c r="H118" i="2"/>
  <c r="I118" i="2"/>
  <c r="H138" i="2"/>
  <c r="I138" i="2"/>
  <c r="H158" i="2"/>
  <c r="I158" i="2"/>
  <c r="H178" i="2"/>
  <c r="I178" i="2"/>
  <c r="H198" i="2"/>
  <c r="I198" i="2"/>
  <c r="H218" i="2"/>
  <c r="I218" i="2"/>
  <c r="H238" i="2"/>
  <c r="I238" i="2"/>
  <c r="H19" i="2"/>
  <c r="I19" i="2"/>
  <c r="H39" i="2"/>
  <c r="I39" i="2"/>
  <c r="H59" i="2"/>
  <c r="I59" i="2"/>
  <c r="H79" i="2"/>
  <c r="I79" i="2"/>
  <c r="H99" i="2"/>
  <c r="I99" i="2"/>
  <c r="H119" i="2"/>
  <c r="I119" i="2"/>
  <c r="H139" i="2"/>
  <c r="I139" i="2"/>
  <c r="H159" i="2"/>
  <c r="I159" i="2"/>
  <c r="H179" i="2"/>
  <c r="I179" i="2"/>
  <c r="H199" i="2"/>
  <c r="I199" i="2"/>
  <c r="H219" i="2"/>
  <c r="I219" i="2"/>
  <c r="H239" i="2"/>
  <c r="I239" i="2"/>
  <c r="H20" i="2"/>
  <c r="I20" i="2"/>
  <c r="H40" i="2"/>
  <c r="I40" i="2"/>
  <c r="H60" i="2"/>
  <c r="I60" i="2"/>
  <c r="H80" i="2"/>
  <c r="I80" i="2"/>
  <c r="H100" i="2"/>
  <c r="I100" i="2"/>
  <c r="H120" i="2"/>
  <c r="I120" i="2"/>
  <c r="H140" i="2"/>
  <c r="I140" i="2"/>
  <c r="H160" i="2"/>
  <c r="I160" i="2"/>
  <c r="H180" i="2"/>
  <c r="I180" i="2"/>
  <c r="H200" i="2"/>
  <c r="I200" i="2"/>
  <c r="H220" i="2"/>
  <c r="I220" i="2"/>
  <c r="H240" i="2"/>
  <c r="I240" i="2"/>
  <c r="H21" i="2"/>
  <c r="I21" i="2"/>
  <c r="H41" i="2"/>
  <c r="I41" i="2"/>
  <c r="H61" i="2"/>
  <c r="I61" i="2"/>
  <c r="H81" i="2"/>
  <c r="I81" i="2"/>
  <c r="H101" i="2"/>
  <c r="I101" i="2"/>
  <c r="H121" i="2"/>
  <c r="I121" i="2"/>
  <c r="H141" i="2"/>
  <c r="I141" i="2"/>
  <c r="H161" i="2"/>
  <c r="I161" i="2"/>
  <c r="H181" i="2"/>
  <c r="I181" i="2"/>
  <c r="H201" i="2"/>
  <c r="I201" i="2"/>
  <c r="H221" i="2"/>
  <c r="I221" i="2"/>
  <c r="H241" i="2"/>
  <c r="I241" i="2"/>
  <c r="O2" i="2"/>
  <c r="AD2" i="2" s="1"/>
  <c r="N2" i="2"/>
  <c r="AE2" i="2" s="1"/>
</calcChain>
</file>

<file path=xl/sharedStrings.xml><?xml version="1.0" encoding="utf-8"?>
<sst xmlns="http://schemas.openxmlformats.org/spreadsheetml/2006/main" count="758" uniqueCount="73">
  <si>
    <t>Month</t>
  </si>
  <si>
    <t>Retail Price TY</t>
  </si>
  <si>
    <t>Retail Price LY</t>
  </si>
  <si>
    <t>In Store Sales $ TY</t>
  </si>
  <si>
    <t>In Store Sales $ LY</t>
  </si>
  <si>
    <t>In Store Sales Units TY</t>
  </si>
  <si>
    <t>In Store Sales Units LY</t>
  </si>
  <si>
    <t>Online Sales $ TY</t>
  </si>
  <si>
    <t>Online Sales $ LY</t>
  </si>
  <si>
    <t>Online Sales Units TY</t>
  </si>
  <si>
    <t>Online Sales Units LY</t>
  </si>
  <si>
    <t>Online Product Visits TY</t>
  </si>
  <si>
    <t>Online Product Visits LY</t>
  </si>
  <si>
    <t>Online Orders LY</t>
  </si>
  <si>
    <t>Online Orders TY</t>
  </si>
  <si>
    <t>Jan</t>
  </si>
  <si>
    <t>SKU 1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</si>
  <si>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</si>
  <si>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</si>
  <si>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</si>
  <si>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</si>
  <si>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</si>
  <si>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</si>
  <si>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</si>
  <si>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</si>
  <si>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</si>
  <si>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</si>
  <si>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</si>
  <si>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SKU 2</t>
  </si>
  <si>
    <t>SKU 3</t>
  </si>
  <si>
    <t>SKU 4</t>
  </si>
  <si>
    <t>SKU 5</t>
  </si>
  <si>
    <t>SKU 6</t>
  </si>
  <si>
    <t>SKU 7</t>
  </si>
  <si>
    <t>SKU 8</t>
  </si>
  <si>
    <t>SKU 9</t>
  </si>
  <si>
    <t>SKU 10</t>
  </si>
  <si>
    <t>SKU 11</t>
  </si>
  <si>
    <t>SKU 12</t>
  </si>
  <si>
    <t>SKU 13</t>
  </si>
  <si>
    <t>SKU 14</t>
  </si>
  <si>
    <t>SKU 15</t>
  </si>
  <si>
    <t>SKU 16</t>
  </si>
  <si>
    <t>SKU 17</t>
  </si>
  <si>
    <t>SKU 18</t>
  </si>
  <si>
    <t>SKU 19</t>
  </si>
  <si>
    <t>SKU 20</t>
  </si>
  <si>
    <t>Category</t>
  </si>
  <si>
    <t>Category 1</t>
  </si>
  <si>
    <t>Category 2</t>
  </si>
  <si>
    <t>Category 3</t>
  </si>
  <si>
    <t>SKU Number</t>
  </si>
  <si>
    <t>SKU</t>
  </si>
  <si>
    <t>Online Avg Product Rating</t>
  </si>
  <si>
    <t>Conversion Rate LY(%)</t>
  </si>
  <si>
    <t>Conversion Rate TY(%)</t>
  </si>
  <si>
    <t>Avg Order Value LY (Online)</t>
  </si>
  <si>
    <t>Avg Order Value TY (Online)</t>
  </si>
  <si>
    <t>Change in Retail Price</t>
  </si>
  <si>
    <t>Avg Order Value LY (In-Store)</t>
  </si>
  <si>
    <t>Avg Order Value TY (In-Store)</t>
  </si>
  <si>
    <t>% Growth in Online Sales</t>
  </si>
  <si>
    <t>% Growth in Store Units</t>
  </si>
  <si>
    <t>% Growth in Store Sales</t>
  </si>
  <si>
    <t>% Growth in Online Sales Units</t>
  </si>
  <si>
    <t>% Growth in Online Product Visits</t>
  </si>
  <si>
    <t>% Growth in Online Orders</t>
  </si>
  <si>
    <t>% Growth in Conversion Rate</t>
  </si>
  <si>
    <t>% Growth in Online AOV</t>
  </si>
  <si>
    <t>% Growth in Store AOV</t>
  </si>
  <si>
    <t>Blended Revenue per visit (TY)</t>
  </si>
  <si>
    <t>Blended Revenue per visit (LY)</t>
  </si>
  <si>
    <t>Store Dependency Ratio (TY)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</si>
</sst>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&quot;$&quot;#,##0"/>
    <numFmt numFmtId="168" formatCode="0.000%"/>
    <numFmt numFmtId="169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5" fontId="2" fillId="0" borderId="0" xfId="1" applyNumberFormat="1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9" fontId="0" fillId="0" borderId="0" xfId="2" applyFont="1"/>
    <xf numFmtId="10" fontId="0" fillId="0" borderId="0" xfId="2" applyNumberFormat="1" applyFont="1"/>
    <xf numFmtId="168" fontId="0" fillId="0" borderId="0" xfId="2" applyNumberFormat="1" applyFont="1"/>
    <xf numFmtId="169" fontId="0" fillId="0" borderId="0" xfId="0" applyNumberFormat="1"/>
    <xf numFmtId="10" fontId="0" fillId="0" borderId="0" xfId="2" applyNumberFormat="1" applyFon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190D-38D0-4798-B593-30BB5E8CE16C}">
  <dimension ref="A1:AL242"/>
  <sheetViews>
    <sheetView tabSelected="1" workbookViewId="0">
      <pane ySplit="1" topLeftCell="A2" activePane="bottomLeft" state="frozen"/>
      <selection pane="bottomLeft" activeCell="A8" sqref="A8"/>
    </sheetView>
  </sheetViews>
  <sheetFormatPr defaultColWidth="8.90625" defaultRowHeight="14.5" x14ac:dyDescent="0.35"/>
  <cols>
    <col min="1" max="1" width="10.6328125" bestFit="1" customWidth="1"/>
    <col min="2" max="2" width="8.81640625" bestFit="1" customWidth="1"/>
    <col min="3" max="3" width="15.90625" bestFit="1" customWidth="1"/>
    <col min="4" max="4" width="12.7265625" bestFit="1" customWidth="1"/>
    <col min="5" max="6" width="17.26953125" style="7" bestFit="1" customWidth="1"/>
    <col min="7" max="7" width="17.26953125" style="7" customWidth="1"/>
    <col min="8" max="9" width="20.453125" style="7" bestFit="1" customWidth="1"/>
    <col min="10" max="10" width="20.453125" style="7" customWidth="1"/>
    <col min="11" max="12" width="24" style="7" bestFit="1" customWidth="1"/>
    <col min="13" max="13" width="24" style="7" customWidth="1"/>
    <col min="14" max="14" width="19.6328125" style="7" bestFit="1" customWidth="1"/>
    <col min="15" max="15" width="20.90625" style="8" bestFit="1" customWidth="1"/>
    <col min="16" max="16" width="20.90625" style="8" customWidth="1"/>
    <col min="17" max="18" width="23.1796875" bestFit="1" customWidth="1"/>
    <col min="19" max="19" width="29.7265625" bestFit="1" customWidth="1"/>
    <col min="20" max="21" width="25.36328125" bestFit="1" customWidth="1"/>
    <col min="22" max="22" width="33.453125" bestFit="1" customWidth="1"/>
    <col min="23" max="24" width="19.26953125" bestFit="1" customWidth="1"/>
    <col min="25" max="25" width="25.81640625" bestFit="1" customWidth="1"/>
    <col min="26" max="26" width="27.453125" style="5" bestFit="1" customWidth="1"/>
    <col min="27" max="28" width="19.81640625" bestFit="1" customWidth="1"/>
    <col min="29" max="29" width="25" bestFit="1" customWidth="1"/>
    <col min="30" max="31" width="23.6328125" bestFit="1" customWidth="1"/>
    <col min="32" max="32" width="21.08984375" bestFit="1" customWidth="1"/>
    <col min="33" max="33" width="24.7265625" bestFit="1" customWidth="1"/>
    <col min="34" max="34" width="29.26953125" bestFit="1" customWidth="1"/>
    <col min="35" max="35" width="24" bestFit="1" customWidth="1"/>
    <col min="36" max="37" width="30.90625" bestFit="1" customWidth="1"/>
    <col min="38" max="38" width="24.7265625" bestFit="1" customWidth="1"/>
  </cols>
  <sheetData>
    <row r="1" spans="1:38" x14ac:dyDescent="0.35">
      <c r="A1" s="9" t="s">
        <v>0</v>
      </c>
      <c r="B1" s="9" t="s">
        <v>52</v>
      </c>
      <c r="C1" s="9" t="s">
        <v>51</v>
      </c>
      <c r="D1" s="9" t="s">
        <v>47</v>
      </c>
      <c r="E1" s="10" t="s">
        <v>1</v>
      </c>
      <c r="F1" s="10" t="s">
        <v>2</v>
      </c>
      <c r="G1" s="10" t="s">
        <v>58</v>
      </c>
      <c r="H1" s="11" t="s">
        <v>3</v>
      </c>
      <c r="I1" s="11" t="s">
        <v>4</v>
      </c>
      <c r="J1" s="11" t="s">
        <v>63</v>
      </c>
      <c r="K1" s="12" t="s">
        <v>5</v>
      </c>
      <c r="L1" s="12" t="s">
        <v>6</v>
      </c>
      <c r="M1" s="12" t="s">
        <v>62</v>
      </c>
      <c r="N1" s="11" t="s">
        <v>7</v>
      </c>
      <c r="O1" s="13" t="s">
        <v>8</v>
      </c>
      <c r="P1" s="13" t="s">
        <v>61</v>
      </c>
      <c r="Q1" s="9" t="s">
        <v>9</v>
      </c>
      <c r="R1" s="9" t="s">
        <v>10</v>
      </c>
      <c r="S1" s="9" t="s">
        <v>64</v>
      </c>
      <c r="T1" s="9" t="s">
        <v>11</v>
      </c>
      <c r="U1" s="9" t="s">
        <v>12</v>
      </c>
      <c r="V1" s="9" t="s">
        <v>65</v>
      </c>
      <c r="W1" s="9" t="s">
        <v>14</v>
      </c>
      <c r="X1" s="9" t="s">
        <v>13</v>
      </c>
      <c r="Y1" s="9" t="s">
        <v>66</v>
      </c>
      <c r="Z1" s="14" t="s">
        <v>53</v>
      </c>
      <c r="AA1" s="9" t="s">
        <v>54</v>
      </c>
      <c r="AB1" s="9" t="s">
        <v>55</v>
      </c>
      <c r="AC1" s="9" t="s">
        <v>67</v>
      </c>
      <c r="AD1" s="9" t="s">
        <v>56</v>
      </c>
      <c r="AE1" s="9" t="s">
        <v>57</v>
      </c>
      <c r="AF1" s="9" t="s">
        <v>68</v>
      </c>
      <c r="AG1" s="9" t="s">
        <v>59</v>
      </c>
      <c r="AH1" s="9" t="s">
        <v>60</v>
      </c>
      <c r="AI1" s="9" t="s">
        <v>69</v>
      </c>
      <c r="AJ1" s="9" t="s">
        <v>70</v>
      </c>
      <c r="AK1" s="9" t="s">
        <v>71</v>
      </c>
      <c r="AL1" s="9" t="s">
        <v>72</v>
      </c>
    </row>
    <row r="2" spans="1:38" x14ac:dyDescent="0.35">
      <c r="A2" s="1" t="s">
        <v>15</v>
      </c>
      <c r="B2" s="1" t="s">
        <v>16</v>
      </c>
      <c r="C2" s="1">
        <v>1</v>
      </c>
      <c r="D2" s="1" t="s">
        <v>48</v>
      </c>
      <c r="E2" s="2">
        <v>279</v>
      </c>
      <c r="F2" s="2">
        <v>249</v>
      </c>
      <c r="G2" s="2">
        <f>E2-F2</f>
        <v>30</v>
      </c>
      <c r="H2" s="3">
        <f>E2*K2</f>
        <v>46035</v>
      </c>
      <c r="I2" s="3">
        <f>F2*L2</f>
        <v>37848</v>
      </c>
      <c r="J2" s="19">
        <f>(H2-I2)/I2</f>
        <v>0.21631261889663919</v>
      </c>
      <c r="K2" s="4">
        <v>165</v>
      </c>
      <c r="L2" s="4">
        <v>152</v>
      </c>
      <c r="M2" s="19">
        <f>(K2-L2)/L2</f>
        <v>8.5526315789473686E-2</v>
      </c>
      <c r="N2" s="3">
        <f>E2*Q2</f>
        <v>19530</v>
      </c>
      <c r="O2" s="3">
        <f>F2*R2</f>
        <v>15936</v>
      </c>
      <c r="P2" s="19">
        <f>(N2-O2)/O2</f>
        <v>0.22552710843373494</v>
      </c>
      <c r="Q2" s="1">
        <v>70</v>
      </c>
      <c r="R2" s="1">
        <v>64</v>
      </c>
      <c r="S2" s="19">
        <f>(Q2-R2)/R2</f>
        <v>9.375E-2</v>
      </c>
      <c r="T2" s="1">
        <v>5019</v>
      </c>
      <c r="U2" s="1">
        <v>5746</v>
      </c>
      <c r="V2" s="19">
        <f>(T2-U2)/U2</f>
        <v>-0.12652279846849981</v>
      </c>
      <c r="W2" s="1">
        <v>51</v>
      </c>
      <c r="X2" s="1">
        <v>45</v>
      </c>
      <c r="Y2" s="19">
        <f>(W2-X2)/X2</f>
        <v>0.13333333333333333</v>
      </c>
      <c r="Z2" s="1">
        <v>4.7</v>
      </c>
      <c r="AA2" s="17">
        <f>X2/U2</f>
        <v>7.831534980856248E-3</v>
      </c>
      <c r="AB2" s="17">
        <f>W2/T2</f>
        <v>1.0161386730424387E-2</v>
      </c>
      <c r="AC2" s="17">
        <f>(AB2-AA2)/AA2</f>
        <v>0.29749618117818949</v>
      </c>
      <c r="AD2" s="18">
        <f>O2/X2</f>
        <v>354.13333333333333</v>
      </c>
      <c r="AE2" s="18">
        <f>N2/W2</f>
        <v>382.94117647058823</v>
      </c>
      <c r="AF2" s="16">
        <f>(AE2-AD2)/AD2</f>
        <v>8.1347448618001431E-2</v>
      </c>
      <c r="AG2">
        <f>I2/L2</f>
        <v>249</v>
      </c>
      <c r="AH2">
        <f>H2/K2</f>
        <v>279</v>
      </c>
      <c r="AI2" s="16">
        <f>(AH2-AG2)/AG2</f>
        <v>0.12048192771084337</v>
      </c>
      <c r="AJ2" s="18">
        <f>(H2+N2)/T2</f>
        <v>13.063359234907352</v>
      </c>
      <c r="AK2" s="18">
        <f>(O2+I2)/U2</f>
        <v>9.3602506091193867</v>
      </c>
      <c r="AL2" s="15">
        <f>H2/(H2+N2)</f>
        <v>0.7021276595744681</v>
      </c>
    </row>
    <row r="3" spans="1:38" x14ac:dyDescent="0.35">
      <c r="A3" s="1" t="s">
        <v>15</v>
      </c>
      <c r="B3" s="6" t="s">
        <v>28</v>
      </c>
      <c r="C3" s="1">
        <v>2</v>
      </c>
      <c r="D3" s="1" t="s">
        <v>48</v>
      </c>
      <c r="E3" s="2">
        <v>354</v>
      </c>
      <c r="F3" s="2">
        <v>354</v>
      </c>
      <c r="G3" s="2">
        <f t="shared" ref="G3:G66" si="0">E3-F3</f>
        <v>0</v>
      </c>
      <c r="H3" s="3">
        <f>E3*K3</f>
        <v>44250</v>
      </c>
      <c r="I3" s="3">
        <f>F3*L3</f>
        <v>42126</v>
      </c>
      <c r="J3" s="19">
        <f t="shared" ref="J3:J66" si="1">(H3-I3)/I3</f>
        <v>5.0420168067226892E-2</v>
      </c>
      <c r="K3" s="4">
        <v>125</v>
      </c>
      <c r="L3" s="4">
        <v>119</v>
      </c>
      <c r="M3" s="19">
        <f t="shared" ref="M3:M66" si="2">(K3-L3)/L3</f>
        <v>5.0420168067226892E-2</v>
      </c>
      <c r="N3" s="3">
        <f>E3*Q3</f>
        <v>8496</v>
      </c>
      <c r="O3" s="3">
        <f>F3*R3</f>
        <v>7788</v>
      </c>
      <c r="P3" s="19">
        <f t="shared" ref="P3:P66" si="3">(N3-O3)/O3</f>
        <v>9.0909090909090912E-2</v>
      </c>
      <c r="Q3" s="1">
        <v>24</v>
      </c>
      <c r="R3" s="1">
        <v>22</v>
      </c>
      <c r="S3" s="19">
        <f t="shared" ref="S3:S66" si="4">(Q3-R3)/R3</f>
        <v>9.0909090909090912E-2</v>
      </c>
      <c r="T3" s="1">
        <v>6297</v>
      </c>
      <c r="U3" s="1">
        <v>6043</v>
      </c>
      <c r="V3" s="19">
        <f t="shared" ref="V3:V66" si="5">(T3-U3)/U3</f>
        <v>4.2032103259970213E-2</v>
      </c>
      <c r="W3" s="1">
        <v>34</v>
      </c>
      <c r="X3" s="1">
        <v>27</v>
      </c>
      <c r="Y3" s="19">
        <f t="shared" ref="Y3:Y66" si="6">(W3-X3)/X3</f>
        <v>0.25925925925925924</v>
      </c>
      <c r="Z3" s="5">
        <v>2.8</v>
      </c>
      <c r="AA3" s="17">
        <f>X3/U3</f>
        <v>4.4679794803905342E-3</v>
      </c>
      <c r="AB3" s="17">
        <f>W3/T3</f>
        <v>5.3993965380339844E-3</v>
      </c>
      <c r="AC3" s="17">
        <f t="shared" ref="AC3:AC66" si="7">(AB3-AA3)/AA3</f>
        <v>0.20846493627182852</v>
      </c>
      <c r="AD3" s="18">
        <f>O3/X3</f>
        <v>288.44444444444446</v>
      </c>
      <c r="AE3" s="18">
        <f>N3/W3</f>
        <v>249.88235294117646</v>
      </c>
      <c r="AF3" s="16">
        <f t="shared" ref="AF3:AF66" si="8">(AE3-AD3)/AD3</f>
        <v>-0.13368983957219258</v>
      </c>
      <c r="AG3">
        <f t="shared" ref="AG3:AG66" si="9">I3/L3</f>
        <v>354</v>
      </c>
      <c r="AH3">
        <f t="shared" ref="AH3:AH66" si="10">H3/K3</f>
        <v>354</v>
      </c>
      <c r="AI3" s="16">
        <f t="shared" ref="AI3:AI66" si="11">(AH3-AG3)/AG3</f>
        <v>0</v>
      </c>
      <c r="AJ3" s="18">
        <f t="shared" ref="AJ3:AJ66" si="12">(H3+N3)/T3</f>
        <v>8.376369699857074</v>
      </c>
      <c r="AK3" s="18">
        <f t="shared" ref="AK3:AK66" si="13">(O3+I3)/U3</f>
        <v>8.2598047327486341</v>
      </c>
      <c r="AL3" s="15">
        <f t="shared" ref="AL3:AL66" si="14">H3/(H3+N3)</f>
        <v>0.83892617449664431</v>
      </c>
    </row>
    <row r="4" spans="1:38" x14ac:dyDescent="0.35">
      <c r="A4" s="1" t="s">
        <v>15</v>
      </c>
      <c r="B4" s="6" t="s">
        <v>29</v>
      </c>
      <c r="C4" s="1">
        <v>3</v>
      </c>
      <c r="D4" s="1" t="s">
        <v>48</v>
      </c>
      <c r="E4" s="2">
        <v>198</v>
      </c>
      <c r="F4" s="2">
        <v>198</v>
      </c>
      <c r="G4" s="2">
        <f t="shared" si="0"/>
        <v>0</v>
      </c>
      <c r="H4" s="3">
        <f>E4*K4</f>
        <v>41382</v>
      </c>
      <c r="I4" s="3">
        <f>F4*L4</f>
        <v>36432</v>
      </c>
      <c r="J4" s="19">
        <f t="shared" si="1"/>
        <v>0.1358695652173913</v>
      </c>
      <c r="K4" s="4">
        <v>209</v>
      </c>
      <c r="L4" s="4">
        <v>184</v>
      </c>
      <c r="M4" s="19">
        <f t="shared" si="2"/>
        <v>0.1358695652173913</v>
      </c>
      <c r="N4" s="3">
        <f>E4*Q4</f>
        <v>23364</v>
      </c>
      <c r="O4" s="3">
        <f>F4*R4</f>
        <v>22770</v>
      </c>
      <c r="P4" s="19">
        <f t="shared" si="3"/>
        <v>2.6086956521739129E-2</v>
      </c>
      <c r="Q4" s="1">
        <v>118</v>
      </c>
      <c r="R4" s="1">
        <v>115</v>
      </c>
      <c r="S4" s="19">
        <f t="shared" si="4"/>
        <v>2.6086956521739129E-2</v>
      </c>
      <c r="T4" s="1">
        <v>11066</v>
      </c>
      <c r="U4" s="1">
        <v>9981</v>
      </c>
      <c r="V4" s="19">
        <f t="shared" si="5"/>
        <v>0.10870654243061817</v>
      </c>
      <c r="W4" s="1">
        <v>108</v>
      </c>
      <c r="X4" s="1">
        <v>110</v>
      </c>
      <c r="Y4" s="19">
        <f t="shared" si="6"/>
        <v>-1.8181818181818181E-2</v>
      </c>
      <c r="Z4" s="5">
        <v>3.8</v>
      </c>
      <c r="AA4" s="17">
        <f>X4/U4</f>
        <v>1.1020939785592626E-2</v>
      </c>
      <c r="AB4" s="17">
        <f>W4/T4</f>
        <v>9.7596240737393824E-3</v>
      </c>
      <c r="AC4" s="17">
        <f t="shared" si="7"/>
        <v>-0.11444720109097478</v>
      </c>
      <c r="AD4" s="18">
        <f>O4/X4</f>
        <v>207</v>
      </c>
      <c r="AE4" s="18">
        <f>N4/W4</f>
        <v>216.33333333333334</v>
      </c>
      <c r="AF4" s="16">
        <f t="shared" si="8"/>
        <v>4.508856682769731E-2</v>
      </c>
      <c r="AG4">
        <f t="shared" si="9"/>
        <v>198</v>
      </c>
      <c r="AH4">
        <f t="shared" si="10"/>
        <v>198</v>
      </c>
      <c r="AI4" s="16">
        <f t="shared" si="11"/>
        <v>0</v>
      </c>
      <c r="AJ4" s="18">
        <f t="shared" si="12"/>
        <v>5.8508946322067592</v>
      </c>
      <c r="AK4" s="18">
        <f t="shared" si="13"/>
        <v>5.9314697926059514</v>
      </c>
      <c r="AL4" s="15">
        <f t="shared" si="14"/>
        <v>0.63914373088685017</v>
      </c>
    </row>
    <row r="5" spans="1:38" x14ac:dyDescent="0.35">
      <c r="A5" s="1" t="s">
        <v>15</v>
      </c>
      <c r="B5" s="6" t="s">
        <v>30</v>
      </c>
      <c r="C5" s="1">
        <v>4</v>
      </c>
      <c r="D5" s="1" t="s">
        <v>48</v>
      </c>
      <c r="E5" s="2">
        <v>150</v>
      </c>
      <c r="F5" s="2">
        <v>149</v>
      </c>
      <c r="G5" s="2">
        <f t="shared" si="0"/>
        <v>1</v>
      </c>
      <c r="H5" s="3">
        <f>E5*K5</f>
        <v>25050</v>
      </c>
      <c r="I5" s="3">
        <f>F5*L5</f>
        <v>25032</v>
      </c>
      <c r="J5" s="19">
        <f t="shared" si="1"/>
        <v>7.1907957813998084E-4</v>
      </c>
      <c r="K5" s="4">
        <v>167</v>
      </c>
      <c r="L5" s="4">
        <v>168</v>
      </c>
      <c r="M5" s="19">
        <f t="shared" si="2"/>
        <v>-5.9523809523809521E-3</v>
      </c>
      <c r="N5" s="3">
        <f>E5*Q5</f>
        <v>11250</v>
      </c>
      <c r="O5" s="3">
        <f>F5*R5</f>
        <v>10728</v>
      </c>
      <c r="P5" s="19">
        <f t="shared" si="3"/>
        <v>4.8657718120805368E-2</v>
      </c>
      <c r="Q5" s="1">
        <v>75</v>
      </c>
      <c r="R5" s="1">
        <v>72</v>
      </c>
      <c r="S5" s="19">
        <f t="shared" si="4"/>
        <v>4.1666666666666664E-2</v>
      </c>
      <c r="T5" s="1">
        <v>11661</v>
      </c>
      <c r="U5" s="1">
        <v>10457</v>
      </c>
      <c r="V5" s="19">
        <f t="shared" si="5"/>
        <v>0.11513818494788181</v>
      </c>
      <c r="W5" s="1">
        <v>65</v>
      </c>
      <c r="X5" s="1">
        <v>67</v>
      </c>
      <c r="Y5" s="19">
        <f t="shared" si="6"/>
        <v>-2.9850746268656716E-2</v>
      </c>
      <c r="Z5" s="5">
        <v>2.9000000000000004</v>
      </c>
      <c r="AA5" s="17">
        <f>X5/U5</f>
        <v>6.4071913550731571E-3</v>
      </c>
      <c r="AB5" s="17">
        <f>W5/T5</f>
        <v>5.5741360089186179E-3</v>
      </c>
      <c r="AC5" s="17">
        <f t="shared" si="7"/>
        <v>-0.13001880230952262</v>
      </c>
      <c r="AD5" s="18">
        <f>O5/X5</f>
        <v>160.11940298507463</v>
      </c>
      <c r="AE5" s="18">
        <f>N5/W5</f>
        <v>173.07692307692307</v>
      </c>
      <c r="AF5" s="16">
        <f t="shared" si="8"/>
        <v>8.0924109447599299E-2</v>
      </c>
      <c r="AG5">
        <f t="shared" si="9"/>
        <v>149</v>
      </c>
      <c r="AH5">
        <f t="shared" si="10"/>
        <v>150</v>
      </c>
      <c r="AI5" s="16">
        <f t="shared" si="11"/>
        <v>6.7114093959731542E-3</v>
      </c>
      <c r="AJ5" s="18">
        <f t="shared" si="12"/>
        <v>3.1129405711345512</v>
      </c>
      <c r="AK5" s="18">
        <f t="shared" si="13"/>
        <v>3.4197188486181505</v>
      </c>
      <c r="AL5" s="15">
        <f t="shared" si="14"/>
        <v>0.69008264462809921</v>
      </c>
    </row>
    <row r="6" spans="1:38" x14ac:dyDescent="0.35">
      <c r="A6" s="1" t="s">
        <v>15</v>
      </c>
      <c r="B6" s="6" t="s">
        <v>31</v>
      </c>
      <c r="C6" s="1">
        <v>5</v>
      </c>
      <c r="D6" s="1" t="s">
        <v>48</v>
      </c>
      <c r="E6" s="2">
        <v>506</v>
      </c>
      <c r="F6" s="2">
        <v>499.9</v>
      </c>
      <c r="G6" s="2">
        <f t="shared" si="0"/>
        <v>6.1000000000000227</v>
      </c>
      <c r="H6" s="3">
        <f>E6*K6</f>
        <v>25806</v>
      </c>
      <c r="I6" s="3">
        <f>F6*L6</f>
        <v>25494.899999999998</v>
      </c>
      <c r="J6" s="19">
        <f t="shared" si="1"/>
        <v>1.2202440488097707E-2</v>
      </c>
      <c r="K6" s="4">
        <v>51</v>
      </c>
      <c r="L6" s="4">
        <v>51</v>
      </c>
      <c r="M6" s="19">
        <f t="shared" si="2"/>
        <v>0</v>
      </c>
      <c r="N6" s="3">
        <f>E6*Q6</f>
        <v>34408</v>
      </c>
      <c r="O6" s="3">
        <f>F6*R6</f>
        <v>32493.5</v>
      </c>
      <c r="P6" s="19">
        <f t="shared" si="3"/>
        <v>5.8919476202932891E-2</v>
      </c>
      <c r="Q6" s="1">
        <v>68</v>
      </c>
      <c r="R6" s="1">
        <v>65</v>
      </c>
      <c r="S6" s="19">
        <f t="shared" si="4"/>
        <v>4.6153846153846156E-2</v>
      </c>
      <c r="T6" s="1">
        <v>13219</v>
      </c>
      <c r="U6" s="1">
        <v>12481</v>
      </c>
      <c r="V6" s="19">
        <f t="shared" si="5"/>
        <v>5.9129877413668777E-2</v>
      </c>
      <c r="W6" s="1">
        <v>58</v>
      </c>
      <c r="X6" s="1">
        <v>60</v>
      </c>
      <c r="Y6" s="19">
        <f t="shared" si="6"/>
        <v>-3.3333333333333333E-2</v>
      </c>
      <c r="Z6" s="1">
        <v>4</v>
      </c>
      <c r="AA6" s="17">
        <f>X6/U6</f>
        <v>4.8073071068023398E-3</v>
      </c>
      <c r="AB6" s="17">
        <f>W6/T6</f>
        <v>4.3876238747257738E-3</v>
      </c>
      <c r="AC6" s="17">
        <f t="shared" si="7"/>
        <v>-8.7301106992460326E-2</v>
      </c>
      <c r="AD6" s="18">
        <f>O6/X6</f>
        <v>541.55833333333328</v>
      </c>
      <c r="AE6" s="18">
        <f>N6/W6</f>
        <v>593.24137931034488</v>
      </c>
      <c r="AF6" s="16">
        <f t="shared" si="8"/>
        <v>9.5433940899585956E-2</v>
      </c>
      <c r="AG6">
        <f t="shared" si="9"/>
        <v>499.9</v>
      </c>
      <c r="AH6">
        <f t="shared" si="10"/>
        <v>506</v>
      </c>
      <c r="AI6" s="16">
        <f t="shared" si="11"/>
        <v>1.2202440488097665E-2</v>
      </c>
      <c r="AJ6" s="18">
        <f t="shared" si="12"/>
        <v>4.5551100688403059</v>
      </c>
      <c r="AK6" s="18">
        <f t="shared" si="13"/>
        <v>4.6461341238682792</v>
      </c>
      <c r="AL6" s="15">
        <f t="shared" si="14"/>
        <v>0.42857142857142855</v>
      </c>
    </row>
    <row r="7" spans="1:38" x14ac:dyDescent="0.35">
      <c r="A7" s="1" t="s">
        <v>15</v>
      </c>
      <c r="B7" s="6" t="s">
        <v>32</v>
      </c>
      <c r="C7" s="1">
        <v>6</v>
      </c>
      <c r="D7" s="1" t="s">
        <v>48</v>
      </c>
      <c r="E7" s="2">
        <v>421</v>
      </c>
      <c r="F7" s="2">
        <v>399</v>
      </c>
      <c r="G7" s="2">
        <f t="shared" si="0"/>
        <v>22</v>
      </c>
      <c r="H7" s="3">
        <f>E7*K7</f>
        <v>38311</v>
      </c>
      <c r="I7" s="3">
        <f>F7*L7</f>
        <v>35910</v>
      </c>
      <c r="J7" s="19">
        <f t="shared" si="1"/>
        <v>6.6861598440545802E-2</v>
      </c>
      <c r="K7" s="4">
        <v>91</v>
      </c>
      <c r="L7" s="4">
        <v>90</v>
      </c>
      <c r="M7" s="19">
        <f t="shared" si="2"/>
        <v>1.1111111111111112E-2</v>
      </c>
      <c r="N7" s="3">
        <f>E7*Q7</f>
        <v>15577</v>
      </c>
      <c r="O7" s="3">
        <f>F7*R7</f>
        <v>13965</v>
      </c>
      <c r="P7" s="19">
        <f t="shared" si="3"/>
        <v>0.11543143573218761</v>
      </c>
      <c r="Q7" s="1">
        <v>37</v>
      </c>
      <c r="R7" s="1">
        <v>35</v>
      </c>
      <c r="S7" s="19">
        <f t="shared" si="4"/>
        <v>5.7142857142857141E-2</v>
      </c>
      <c r="T7" s="1">
        <v>13310</v>
      </c>
      <c r="U7" s="1">
        <v>12193</v>
      </c>
      <c r="V7" s="19">
        <f t="shared" si="5"/>
        <v>9.1609940129582554E-2</v>
      </c>
      <c r="W7" s="1">
        <v>33</v>
      </c>
      <c r="X7" s="1">
        <v>30</v>
      </c>
      <c r="Y7" s="19">
        <f t="shared" si="6"/>
        <v>0.1</v>
      </c>
      <c r="Z7" s="5">
        <v>2.7</v>
      </c>
      <c r="AA7" s="17">
        <f>X7/U7</f>
        <v>2.4604281144919218E-3</v>
      </c>
      <c r="AB7" s="17">
        <f>W7/T7</f>
        <v>2.4793388429752068E-3</v>
      </c>
      <c r="AC7" s="17">
        <f t="shared" si="7"/>
        <v>7.6859504132231332E-3</v>
      </c>
      <c r="AD7" s="18">
        <f>O7/X7</f>
        <v>465.5</v>
      </c>
      <c r="AE7" s="18">
        <f>N7/W7</f>
        <v>472.030303030303</v>
      </c>
      <c r="AF7" s="16">
        <f t="shared" si="8"/>
        <v>1.4028577938352315E-2</v>
      </c>
      <c r="AG7">
        <f t="shared" si="9"/>
        <v>399</v>
      </c>
      <c r="AH7">
        <f t="shared" si="10"/>
        <v>421</v>
      </c>
      <c r="AI7" s="16">
        <f t="shared" si="11"/>
        <v>5.5137844611528819E-2</v>
      </c>
      <c r="AJ7" s="18">
        <f t="shared" si="12"/>
        <v>4.0486851990984221</v>
      </c>
      <c r="AK7" s="18">
        <f t="shared" si="13"/>
        <v>4.0904617403428194</v>
      </c>
      <c r="AL7" s="15">
        <f t="shared" si="14"/>
        <v>0.7109375</v>
      </c>
    </row>
    <row r="8" spans="1:38" x14ac:dyDescent="0.35">
      <c r="A8" s="1" t="s">
        <v>15</v>
      </c>
      <c r="B8" s="6" t="s">
        <v>33</v>
      </c>
      <c r="C8" s="1">
        <v>7</v>
      </c>
      <c r="D8" s="1" t="s">
        <v>48</v>
      </c>
      <c r="E8" s="2">
        <v>419</v>
      </c>
      <c r="F8" s="2">
        <v>419</v>
      </c>
      <c r="G8" s="2">
        <f t="shared" si="0"/>
        <v>0</v>
      </c>
      <c r="H8" s="3">
        <f>E8*K8</f>
        <v>25559</v>
      </c>
      <c r="I8" s="3">
        <f>F8*L8</f>
        <v>25978</v>
      </c>
      <c r="J8" s="19">
        <f t="shared" si="1"/>
        <v>-1.6129032258064516E-2</v>
      </c>
      <c r="K8" s="4">
        <v>61</v>
      </c>
      <c r="L8" s="4">
        <v>62</v>
      </c>
      <c r="M8" s="19">
        <f t="shared" si="2"/>
        <v>-1.6129032258064516E-2</v>
      </c>
      <c r="N8" s="3">
        <f>E8*Q8</f>
        <v>10056</v>
      </c>
      <c r="O8" s="3">
        <f>F8*R8</f>
        <v>9637</v>
      </c>
      <c r="P8" s="19">
        <f t="shared" si="3"/>
        <v>4.3478260869565216E-2</v>
      </c>
      <c r="Q8" s="1">
        <v>24</v>
      </c>
      <c r="R8" s="1">
        <v>23</v>
      </c>
      <c r="S8" s="19">
        <f t="shared" si="4"/>
        <v>4.3478260869565216E-2</v>
      </c>
      <c r="T8" s="1">
        <v>5778</v>
      </c>
      <c r="U8" s="1">
        <v>5249</v>
      </c>
      <c r="V8" s="19">
        <f t="shared" si="5"/>
        <v>0.10078110116212612</v>
      </c>
      <c r="W8" s="1">
        <v>30</v>
      </c>
      <c r="X8" s="4">
        <v>35.69</v>
      </c>
      <c r="Y8" s="19">
        <f t="shared" si="6"/>
        <v>-0.15942841131969734</v>
      </c>
      <c r="Z8" s="5">
        <v>2.2999999999999998</v>
      </c>
      <c r="AA8" s="17">
        <f>X8/U8</f>
        <v>6.7993903600685841E-3</v>
      </c>
      <c r="AB8" s="17">
        <f>W8/T8</f>
        <v>5.1921079958463139E-3</v>
      </c>
      <c r="AC8" s="17">
        <f t="shared" si="7"/>
        <v>-0.23638624628194724</v>
      </c>
      <c r="AD8" s="18">
        <f>O8/X8</f>
        <v>270.01961333706925</v>
      </c>
      <c r="AE8" s="18">
        <f>N8/W8</f>
        <v>335.2</v>
      </c>
      <c r="AF8" s="16">
        <f t="shared" si="8"/>
        <v>0.24139130434782588</v>
      </c>
      <c r="AG8">
        <f t="shared" si="9"/>
        <v>419</v>
      </c>
      <c r="AH8">
        <f t="shared" si="10"/>
        <v>419</v>
      </c>
      <c r="AI8" s="16">
        <f t="shared" si="11"/>
        <v>0</v>
      </c>
      <c r="AJ8" s="18">
        <f t="shared" si="12"/>
        <v>6.1638975424022151</v>
      </c>
      <c r="AK8" s="18">
        <f t="shared" si="13"/>
        <v>6.7851019241760335</v>
      </c>
      <c r="AL8" s="15">
        <f t="shared" si="14"/>
        <v>0.71764705882352942</v>
      </c>
    </row>
    <row r="9" spans="1:38" x14ac:dyDescent="0.35">
      <c r="A9" s="1" t="s">
        <v>15</v>
      </c>
      <c r="B9" s="6" t="s">
        <v>34</v>
      </c>
      <c r="C9" s="1">
        <v>8</v>
      </c>
      <c r="D9" s="1" t="s">
        <v>49</v>
      </c>
      <c r="E9" s="2">
        <v>175</v>
      </c>
      <c r="F9" s="2">
        <v>169.9</v>
      </c>
      <c r="G9" s="2">
        <f t="shared" si="0"/>
        <v>5.0999999999999943</v>
      </c>
      <c r="H9" s="3">
        <f>E9*K9</f>
        <v>8925</v>
      </c>
      <c r="I9" s="3">
        <f>F9*L9</f>
        <v>8495</v>
      </c>
      <c r="J9" s="19">
        <f t="shared" si="1"/>
        <v>5.0618010594467334E-2</v>
      </c>
      <c r="K9" s="4">
        <v>51</v>
      </c>
      <c r="L9" s="4">
        <v>50</v>
      </c>
      <c r="M9" s="19">
        <f t="shared" si="2"/>
        <v>0.02</v>
      </c>
      <c r="N9" s="3">
        <f>E9*Q9</f>
        <v>7875</v>
      </c>
      <c r="O9" s="3">
        <f>F9*R9</f>
        <v>7305.7</v>
      </c>
      <c r="P9" s="19">
        <f t="shared" si="3"/>
        <v>7.7925455466279783E-2</v>
      </c>
      <c r="Q9" s="1">
        <v>45</v>
      </c>
      <c r="R9" s="1">
        <v>43</v>
      </c>
      <c r="S9" s="19">
        <f t="shared" si="4"/>
        <v>4.6511627906976744E-2</v>
      </c>
      <c r="T9" s="1">
        <v>1338</v>
      </c>
      <c r="U9" s="1">
        <v>1318</v>
      </c>
      <c r="V9" s="19">
        <f t="shared" si="5"/>
        <v>1.5174506828528073E-2</v>
      </c>
      <c r="W9" s="1">
        <v>35</v>
      </c>
      <c r="X9" s="1">
        <v>38</v>
      </c>
      <c r="Y9" s="19">
        <f t="shared" si="6"/>
        <v>-7.8947368421052627E-2</v>
      </c>
      <c r="Z9" s="1">
        <v>4.4000000000000004</v>
      </c>
      <c r="AA9" s="17">
        <f>X9/U9</f>
        <v>2.8831562974203338E-2</v>
      </c>
      <c r="AB9" s="17">
        <f>W9/T9</f>
        <v>2.6158445440956652E-2</v>
      </c>
      <c r="AC9" s="17">
        <f t="shared" si="7"/>
        <v>-9.2714971284713996E-2</v>
      </c>
      <c r="AD9" s="18">
        <f>O9/X9</f>
        <v>192.25526315789475</v>
      </c>
      <c r="AE9" s="18">
        <f>N9/W9</f>
        <v>225</v>
      </c>
      <c r="AF9" s="16">
        <f t="shared" si="8"/>
        <v>0.17031906593481796</v>
      </c>
      <c r="AG9">
        <f t="shared" si="9"/>
        <v>169.9</v>
      </c>
      <c r="AH9">
        <f t="shared" si="10"/>
        <v>175</v>
      </c>
      <c r="AI9" s="16">
        <f t="shared" si="11"/>
        <v>3.0017657445556175E-2</v>
      </c>
      <c r="AJ9" s="18">
        <f t="shared" si="12"/>
        <v>12.556053811659194</v>
      </c>
      <c r="AK9" s="18">
        <f t="shared" si="13"/>
        <v>11.988391502276176</v>
      </c>
      <c r="AL9" s="15">
        <f t="shared" si="14"/>
        <v>0.53125</v>
      </c>
    </row>
    <row r="10" spans="1:38" x14ac:dyDescent="0.35">
      <c r="A10" s="1" t="s">
        <v>15</v>
      </c>
      <c r="B10" s="6" t="s">
        <v>35</v>
      </c>
      <c r="C10" s="1">
        <v>9</v>
      </c>
      <c r="D10" s="1" t="s">
        <v>49</v>
      </c>
      <c r="E10" s="2">
        <v>139</v>
      </c>
      <c r="F10" s="2">
        <v>119</v>
      </c>
      <c r="G10" s="2">
        <f t="shared" si="0"/>
        <v>20</v>
      </c>
      <c r="H10" s="3">
        <f>E10*K10</f>
        <v>9313</v>
      </c>
      <c r="I10" s="3">
        <f>F10*L10</f>
        <v>8449</v>
      </c>
      <c r="J10" s="19">
        <f t="shared" si="1"/>
        <v>0.10226062255888271</v>
      </c>
      <c r="K10" s="4">
        <v>67</v>
      </c>
      <c r="L10" s="4">
        <v>71</v>
      </c>
      <c r="M10" s="19">
        <f t="shared" si="2"/>
        <v>-5.6338028169014086E-2</v>
      </c>
      <c r="N10" s="3">
        <f>E10*Q10</f>
        <v>6811</v>
      </c>
      <c r="O10" s="3">
        <f>F10*R10</f>
        <v>5236</v>
      </c>
      <c r="P10" s="19">
        <f t="shared" si="3"/>
        <v>0.30080213903743314</v>
      </c>
      <c r="Q10" s="1">
        <v>49</v>
      </c>
      <c r="R10" s="1">
        <v>44</v>
      </c>
      <c r="S10" s="19">
        <f t="shared" si="4"/>
        <v>0.11363636363636363</v>
      </c>
      <c r="T10" s="1">
        <v>2021</v>
      </c>
      <c r="U10" s="1">
        <v>2142</v>
      </c>
      <c r="V10" s="19">
        <f t="shared" si="5"/>
        <v>-5.6489262371615313E-2</v>
      </c>
      <c r="W10" s="1">
        <v>39</v>
      </c>
      <c r="X10" s="4">
        <v>42.239999999999995</v>
      </c>
      <c r="Y10" s="19">
        <f t="shared" si="6"/>
        <v>-7.6704545454545345E-2</v>
      </c>
      <c r="Z10" s="5">
        <v>2.7</v>
      </c>
      <c r="AA10" s="17">
        <f>X10/U10</f>
        <v>1.9719887955182071E-2</v>
      </c>
      <c r="AB10" s="17">
        <f>W10/T10</f>
        <v>1.9297377535873329E-2</v>
      </c>
      <c r="AC10" s="17">
        <f t="shared" si="7"/>
        <v>-2.1425599388241578E-2</v>
      </c>
      <c r="AD10" s="18">
        <f>O10/X10</f>
        <v>123.95833333333334</v>
      </c>
      <c r="AE10" s="18">
        <f>N10/W10</f>
        <v>174.64102564102564</v>
      </c>
      <c r="AF10" s="16">
        <f t="shared" si="8"/>
        <v>0.40886877828054285</v>
      </c>
      <c r="AG10">
        <f t="shared" si="9"/>
        <v>119</v>
      </c>
      <c r="AH10">
        <f t="shared" si="10"/>
        <v>139</v>
      </c>
      <c r="AI10" s="16">
        <f t="shared" si="11"/>
        <v>0.16806722689075632</v>
      </c>
      <c r="AJ10" s="18">
        <f t="shared" si="12"/>
        <v>7.978228599703117</v>
      </c>
      <c r="AK10" s="18">
        <f t="shared" si="13"/>
        <v>6.3888888888888893</v>
      </c>
      <c r="AL10" s="15">
        <f t="shared" si="14"/>
        <v>0.57758620689655171</v>
      </c>
    </row>
    <row r="11" spans="1:38" x14ac:dyDescent="0.35">
      <c r="A11" s="1" t="s">
        <v>15</v>
      </c>
      <c r="B11" s="6" t="s">
        <v>36</v>
      </c>
      <c r="C11" s="1">
        <v>10</v>
      </c>
      <c r="D11" s="1" t="s">
        <v>49</v>
      </c>
      <c r="E11" s="2">
        <v>79</v>
      </c>
      <c r="F11" s="2">
        <v>79</v>
      </c>
      <c r="G11" s="2">
        <f t="shared" si="0"/>
        <v>0</v>
      </c>
      <c r="H11" s="3">
        <f>E11*K11</f>
        <v>4740</v>
      </c>
      <c r="I11" s="3">
        <f>F11*L11</f>
        <v>4740</v>
      </c>
      <c r="J11" s="19">
        <f t="shared" si="1"/>
        <v>0</v>
      </c>
      <c r="K11" s="4">
        <v>60</v>
      </c>
      <c r="L11" s="4">
        <v>60</v>
      </c>
      <c r="M11" s="19">
        <f t="shared" si="2"/>
        <v>0</v>
      </c>
      <c r="N11" s="3">
        <f>E11*Q11</f>
        <v>3397</v>
      </c>
      <c r="O11" s="3">
        <f>F11*R11</f>
        <v>3476</v>
      </c>
      <c r="P11" s="19">
        <f t="shared" si="3"/>
        <v>-2.2727272727272728E-2</v>
      </c>
      <c r="Q11" s="1">
        <v>43</v>
      </c>
      <c r="R11" s="1">
        <v>44</v>
      </c>
      <c r="S11" s="19">
        <f t="shared" si="4"/>
        <v>-2.2727272727272728E-2</v>
      </c>
      <c r="T11" s="1">
        <v>2877</v>
      </c>
      <c r="U11" s="1">
        <v>2507</v>
      </c>
      <c r="V11" s="19">
        <f t="shared" si="5"/>
        <v>0.14758675708017552</v>
      </c>
      <c r="W11" s="1">
        <v>33</v>
      </c>
      <c r="X11" s="4">
        <v>42.239999999999995</v>
      </c>
      <c r="Y11" s="19">
        <f t="shared" si="6"/>
        <v>-0.21874999999999992</v>
      </c>
      <c r="Z11" s="5">
        <v>2</v>
      </c>
      <c r="AA11" s="17">
        <f>X11/U11</f>
        <v>1.6848823294774631E-2</v>
      </c>
      <c r="AB11" s="17">
        <f>W11/T11</f>
        <v>1.1470281543274244E-2</v>
      </c>
      <c r="AC11" s="17">
        <f t="shared" si="7"/>
        <v>-0.31922358359402153</v>
      </c>
      <c r="AD11" s="18">
        <f>O11/X11</f>
        <v>82.291666666666671</v>
      </c>
      <c r="AE11" s="18">
        <f>N11/W11</f>
        <v>102.93939393939394</v>
      </c>
      <c r="AF11" s="16">
        <f t="shared" si="8"/>
        <v>0.2509090909090908</v>
      </c>
      <c r="AG11">
        <f t="shared" si="9"/>
        <v>79</v>
      </c>
      <c r="AH11">
        <f t="shared" si="10"/>
        <v>79</v>
      </c>
      <c r="AI11" s="16">
        <f t="shared" si="11"/>
        <v>0</v>
      </c>
      <c r="AJ11" s="18">
        <f t="shared" si="12"/>
        <v>2.8282933611400765</v>
      </c>
      <c r="AK11" s="18">
        <f t="shared" si="13"/>
        <v>3.2772237734343839</v>
      </c>
      <c r="AL11" s="15">
        <f t="shared" si="14"/>
        <v>0.58252427184466016</v>
      </c>
    </row>
    <row r="12" spans="1:38" x14ac:dyDescent="0.35">
      <c r="A12" s="1" t="s">
        <v>15</v>
      </c>
      <c r="B12" s="6" t="s">
        <v>37</v>
      </c>
      <c r="C12" s="1">
        <v>11</v>
      </c>
      <c r="D12" s="1" t="s">
        <v>49</v>
      </c>
      <c r="E12" s="2">
        <v>149</v>
      </c>
      <c r="F12" s="2">
        <v>149</v>
      </c>
      <c r="G12" s="2">
        <f t="shared" si="0"/>
        <v>0</v>
      </c>
      <c r="H12" s="3">
        <f>E12*K12</f>
        <v>15943</v>
      </c>
      <c r="I12" s="3">
        <f>F12*L12</f>
        <v>16241</v>
      </c>
      <c r="J12" s="19">
        <f t="shared" si="1"/>
        <v>-1.834862385321101E-2</v>
      </c>
      <c r="K12" s="4">
        <v>107</v>
      </c>
      <c r="L12" s="4">
        <v>109</v>
      </c>
      <c r="M12" s="19">
        <f t="shared" si="2"/>
        <v>-1.834862385321101E-2</v>
      </c>
      <c r="N12" s="3">
        <f>E12*Q12</f>
        <v>6854</v>
      </c>
      <c r="O12" s="3">
        <f>F12*R12</f>
        <v>6854</v>
      </c>
      <c r="P12" s="19">
        <f t="shared" si="3"/>
        <v>0</v>
      </c>
      <c r="Q12" s="1">
        <v>46</v>
      </c>
      <c r="R12" s="1">
        <v>46</v>
      </c>
      <c r="S12" s="19">
        <f t="shared" si="4"/>
        <v>0</v>
      </c>
      <c r="T12" s="1">
        <v>3980</v>
      </c>
      <c r="U12" s="1">
        <v>4739</v>
      </c>
      <c r="V12" s="19">
        <f t="shared" si="5"/>
        <v>-0.16016037138636843</v>
      </c>
      <c r="W12" s="1">
        <v>36</v>
      </c>
      <c r="X12" s="4">
        <v>46.2</v>
      </c>
      <c r="Y12" s="19">
        <f t="shared" si="6"/>
        <v>-0.22077922077922082</v>
      </c>
      <c r="Z12" s="5">
        <v>2</v>
      </c>
      <c r="AA12" s="17">
        <f>X12/U12</f>
        <v>9.7488921713441666E-3</v>
      </c>
      <c r="AB12" s="17">
        <f>W12/T12</f>
        <v>9.0452261306532659E-3</v>
      </c>
      <c r="AC12" s="17">
        <f t="shared" si="7"/>
        <v>-7.2179077204202982E-2</v>
      </c>
      <c r="AD12" s="18">
        <f>O12/X12</f>
        <v>148.35497835497836</v>
      </c>
      <c r="AE12" s="18">
        <f>N12/W12</f>
        <v>190.38888888888889</v>
      </c>
      <c r="AF12" s="16">
        <f t="shared" si="8"/>
        <v>0.28333333333333327</v>
      </c>
      <c r="AG12">
        <f t="shared" si="9"/>
        <v>149</v>
      </c>
      <c r="AH12">
        <f t="shared" si="10"/>
        <v>149</v>
      </c>
      <c r="AI12" s="16">
        <f t="shared" si="11"/>
        <v>0</v>
      </c>
      <c r="AJ12" s="18">
        <f t="shared" si="12"/>
        <v>5.7278894472361808</v>
      </c>
      <c r="AK12" s="18">
        <f t="shared" si="13"/>
        <v>4.8733910107617637</v>
      </c>
      <c r="AL12" s="15">
        <f t="shared" si="14"/>
        <v>0.69934640522875813</v>
      </c>
    </row>
    <row r="13" spans="1:38" x14ac:dyDescent="0.35">
      <c r="A13" s="1" t="s">
        <v>15</v>
      </c>
      <c r="B13" s="6" t="s">
        <v>38</v>
      </c>
      <c r="C13" s="1">
        <v>12</v>
      </c>
      <c r="D13" s="1" t="s">
        <v>50</v>
      </c>
      <c r="E13" s="2">
        <v>779</v>
      </c>
      <c r="F13" s="2">
        <v>649.20000000000005</v>
      </c>
      <c r="G13" s="2">
        <f t="shared" si="0"/>
        <v>129.79999999999995</v>
      </c>
      <c r="H13" s="3">
        <f>E13*K13</f>
        <v>90364</v>
      </c>
      <c r="I13" s="3">
        <f>F13*L13</f>
        <v>74008.800000000003</v>
      </c>
      <c r="J13" s="19">
        <f t="shared" si="1"/>
        <v>0.22098993633189562</v>
      </c>
      <c r="K13" s="4">
        <v>116</v>
      </c>
      <c r="L13" s="4">
        <v>114</v>
      </c>
      <c r="M13" s="19">
        <f t="shared" si="2"/>
        <v>1.7543859649122806E-2</v>
      </c>
      <c r="N13" s="3">
        <f>E13*Q13</f>
        <v>81795</v>
      </c>
      <c r="O13" s="3">
        <f>F13*R13</f>
        <v>62323.200000000004</v>
      </c>
      <c r="P13" s="19">
        <f t="shared" si="3"/>
        <v>0.31243260936537265</v>
      </c>
      <c r="Q13" s="1">
        <v>105</v>
      </c>
      <c r="R13" s="1">
        <v>96</v>
      </c>
      <c r="S13" s="19">
        <f t="shared" si="4"/>
        <v>9.375E-2</v>
      </c>
      <c r="T13" s="1">
        <v>11966</v>
      </c>
      <c r="U13" s="1">
        <v>11868</v>
      </c>
      <c r="V13" s="19">
        <f t="shared" si="5"/>
        <v>8.2574991573980457E-3</v>
      </c>
      <c r="W13" s="1">
        <v>95</v>
      </c>
      <c r="X13" s="1">
        <v>91</v>
      </c>
      <c r="Y13" s="19">
        <f t="shared" si="6"/>
        <v>4.3956043956043959E-2</v>
      </c>
      <c r="Z13" s="1">
        <v>4.7</v>
      </c>
      <c r="AA13" s="17">
        <f>X13/U13</f>
        <v>7.6676777890124703E-3</v>
      </c>
      <c r="AB13" s="17">
        <f>W13/T13</f>
        <v>7.9391609560421194E-3</v>
      </c>
      <c r="AC13" s="17">
        <f t="shared" si="7"/>
        <v>3.5406178311075558E-2</v>
      </c>
      <c r="AD13" s="18">
        <f>O13/X13</f>
        <v>684.87032967032974</v>
      </c>
      <c r="AE13" s="18">
        <f>N13/W13</f>
        <v>861</v>
      </c>
      <c r="AF13" s="16">
        <f t="shared" si="8"/>
        <v>0.25717228897104116</v>
      </c>
      <c r="AG13">
        <f t="shared" si="9"/>
        <v>649.20000000000005</v>
      </c>
      <c r="AH13">
        <f t="shared" si="10"/>
        <v>779</v>
      </c>
      <c r="AI13" s="16">
        <f t="shared" si="11"/>
        <v>0.19993838570548358</v>
      </c>
      <c r="AJ13" s="18">
        <f t="shared" si="12"/>
        <v>14.387347484539529</v>
      </c>
      <c r="AK13" s="18">
        <f t="shared" si="13"/>
        <v>11.487360970677452</v>
      </c>
      <c r="AL13" s="15">
        <f t="shared" si="14"/>
        <v>0.52488687782805432</v>
      </c>
    </row>
    <row r="14" spans="1:38" x14ac:dyDescent="0.35">
      <c r="A14" s="1" t="s">
        <v>15</v>
      </c>
      <c r="B14" s="6" t="s">
        <v>39</v>
      </c>
      <c r="C14" s="1">
        <v>13</v>
      </c>
      <c r="D14" s="1" t="s">
        <v>50</v>
      </c>
      <c r="E14" s="2">
        <v>136</v>
      </c>
      <c r="F14" s="2">
        <v>136</v>
      </c>
      <c r="G14" s="2">
        <f t="shared" si="0"/>
        <v>0</v>
      </c>
      <c r="H14" s="3">
        <f>E14*K14</f>
        <v>20128</v>
      </c>
      <c r="I14" s="3">
        <f>F14*L14</f>
        <v>19720</v>
      </c>
      <c r="J14" s="19">
        <f t="shared" si="1"/>
        <v>2.0689655172413793E-2</v>
      </c>
      <c r="K14" s="4">
        <v>148</v>
      </c>
      <c r="L14" s="4">
        <v>145</v>
      </c>
      <c r="M14" s="19">
        <f t="shared" si="2"/>
        <v>2.0689655172413793E-2</v>
      </c>
      <c r="N14" s="3">
        <f>E14*Q14</f>
        <v>12376</v>
      </c>
      <c r="O14" s="3">
        <f>F14*R14</f>
        <v>11016</v>
      </c>
      <c r="P14" s="19">
        <f t="shared" si="3"/>
        <v>0.12345679012345678</v>
      </c>
      <c r="Q14" s="1">
        <v>91</v>
      </c>
      <c r="R14" s="1">
        <v>81</v>
      </c>
      <c r="S14" s="19">
        <f t="shared" si="4"/>
        <v>0.12345679012345678</v>
      </c>
      <c r="T14" s="1">
        <v>8316</v>
      </c>
      <c r="U14" s="1">
        <v>8736</v>
      </c>
      <c r="V14" s="19">
        <f t="shared" si="5"/>
        <v>-4.807692307692308E-2</v>
      </c>
      <c r="W14" s="1">
        <v>81</v>
      </c>
      <c r="X14" s="1">
        <v>76</v>
      </c>
      <c r="Y14" s="19">
        <f t="shared" si="6"/>
        <v>6.5789473684210523E-2</v>
      </c>
      <c r="Z14" s="5">
        <v>2</v>
      </c>
      <c r="AA14" s="17">
        <f>X14/U14</f>
        <v>8.6996336996337E-3</v>
      </c>
      <c r="AB14" s="17">
        <f>W14/T14</f>
        <v>9.74025974025974E-3</v>
      </c>
      <c r="AC14" s="17">
        <f t="shared" si="7"/>
        <v>0.11961722488038271</v>
      </c>
      <c r="AD14" s="18">
        <f>O14/X14</f>
        <v>144.94736842105263</v>
      </c>
      <c r="AE14" s="18">
        <f>N14/W14</f>
        <v>152.79012345679013</v>
      </c>
      <c r="AF14" s="16">
        <f t="shared" si="8"/>
        <v>5.4107605547934798E-2</v>
      </c>
      <c r="AG14">
        <f t="shared" si="9"/>
        <v>136</v>
      </c>
      <c r="AH14">
        <f t="shared" si="10"/>
        <v>136</v>
      </c>
      <c r="AI14" s="16">
        <f t="shared" si="11"/>
        <v>0</v>
      </c>
      <c r="AJ14" s="18">
        <f t="shared" si="12"/>
        <v>3.9086099086099084</v>
      </c>
      <c r="AK14" s="18">
        <f t="shared" si="13"/>
        <v>3.5183150183150182</v>
      </c>
      <c r="AL14" s="15">
        <f t="shared" si="14"/>
        <v>0.61924686192468614</v>
      </c>
    </row>
    <row r="15" spans="1:38" x14ac:dyDescent="0.35">
      <c r="A15" s="1" t="s">
        <v>15</v>
      </c>
      <c r="B15" s="6" t="s">
        <v>40</v>
      </c>
      <c r="C15" s="1">
        <v>14</v>
      </c>
      <c r="D15" s="1" t="s">
        <v>50</v>
      </c>
      <c r="E15" s="2">
        <v>249</v>
      </c>
      <c r="F15" s="2">
        <v>249</v>
      </c>
      <c r="G15" s="2">
        <f t="shared" si="0"/>
        <v>0</v>
      </c>
      <c r="H15" s="3">
        <f>E15*K15</f>
        <v>36603</v>
      </c>
      <c r="I15" s="3">
        <f>F15*L15</f>
        <v>32121</v>
      </c>
      <c r="J15" s="19">
        <f t="shared" si="1"/>
        <v>0.13953488372093023</v>
      </c>
      <c r="K15" s="4">
        <v>147</v>
      </c>
      <c r="L15" s="4">
        <v>129</v>
      </c>
      <c r="M15" s="19">
        <f t="shared" si="2"/>
        <v>0.13953488372093023</v>
      </c>
      <c r="N15" s="3">
        <f>E15*Q15</f>
        <v>17430</v>
      </c>
      <c r="O15" s="3">
        <f>F15*R15</f>
        <v>17928</v>
      </c>
      <c r="P15" s="19">
        <f t="shared" si="3"/>
        <v>-2.7777777777777776E-2</v>
      </c>
      <c r="Q15" s="1">
        <v>70</v>
      </c>
      <c r="R15" s="1">
        <v>72</v>
      </c>
      <c r="S15" s="19">
        <f t="shared" si="4"/>
        <v>-2.7777777777777776E-2</v>
      </c>
      <c r="T15" s="1">
        <v>5713</v>
      </c>
      <c r="U15" s="1">
        <v>5350</v>
      </c>
      <c r="V15" s="19">
        <f t="shared" si="5"/>
        <v>6.7850467289719621E-2</v>
      </c>
      <c r="W15" s="1">
        <v>60</v>
      </c>
      <c r="X15" s="4">
        <v>59.800000000000004</v>
      </c>
      <c r="Y15" s="19">
        <f t="shared" si="6"/>
        <v>3.344481605351099E-3</v>
      </c>
      <c r="Z15" s="1">
        <v>4.5</v>
      </c>
      <c r="AA15" s="17">
        <f>X15/U15</f>
        <v>1.1177570093457944E-2</v>
      </c>
      <c r="AB15" s="17">
        <f>W15/T15</f>
        <v>1.0502363031682128E-2</v>
      </c>
      <c r="AC15" s="17">
        <f t="shared" si="7"/>
        <v>-6.0407320744157444E-2</v>
      </c>
      <c r="AD15" s="18">
        <f>O15/X15</f>
        <v>299.79933110367892</v>
      </c>
      <c r="AE15" s="18">
        <f>N15/W15</f>
        <v>290.5</v>
      </c>
      <c r="AF15" s="16">
        <f t="shared" si="8"/>
        <v>-3.1018518518518497E-2</v>
      </c>
      <c r="AG15">
        <f t="shared" si="9"/>
        <v>249</v>
      </c>
      <c r="AH15">
        <f t="shared" si="10"/>
        <v>249</v>
      </c>
      <c r="AI15" s="16">
        <f t="shared" si="11"/>
        <v>0</v>
      </c>
      <c r="AJ15" s="18">
        <f t="shared" si="12"/>
        <v>9.4579030281813417</v>
      </c>
      <c r="AK15" s="18">
        <f t="shared" si="13"/>
        <v>9.3549532710280374</v>
      </c>
      <c r="AL15" s="15">
        <f t="shared" si="14"/>
        <v>0.67741935483870963</v>
      </c>
    </row>
    <row r="16" spans="1:38" x14ac:dyDescent="0.35">
      <c r="A16" s="1" t="s">
        <v>15</v>
      </c>
      <c r="B16" s="6" t="s">
        <v>41</v>
      </c>
      <c r="C16" s="1">
        <v>15</v>
      </c>
      <c r="D16" s="1" t="s">
        <v>50</v>
      </c>
      <c r="E16" s="2">
        <v>155</v>
      </c>
      <c r="F16" s="2">
        <v>155</v>
      </c>
      <c r="G16" s="2">
        <f t="shared" si="0"/>
        <v>0</v>
      </c>
      <c r="H16" s="3">
        <f>E16*K16</f>
        <v>19530</v>
      </c>
      <c r="I16" s="3">
        <f>F16*L16</f>
        <v>18910</v>
      </c>
      <c r="J16" s="19">
        <f t="shared" si="1"/>
        <v>3.2786885245901641E-2</v>
      </c>
      <c r="K16" s="4">
        <v>126</v>
      </c>
      <c r="L16" s="4">
        <v>122</v>
      </c>
      <c r="M16" s="19">
        <f t="shared" si="2"/>
        <v>3.2786885245901641E-2</v>
      </c>
      <c r="N16" s="3">
        <f>E16*Q16</f>
        <v>6200</v>
      </c>
      <c r="O16" s="3">
        <f>F16*R16</f>
        <v>5425</v>
      </c>
      <c r="P16" s="19">
        <f t="shared" si="3"/>
        <v>0.14285714285714285</v>
      </c>
      <c r="Q16" s="1">
        <v>40</v>
      </c>
      <c r="R16" s="1">
        <v>35</v>
      </c>
      <c r="S16" s="19">
        <f t="shared" si="4"/>
        <v>0.14285714285714285</v>
      </c>
      <c r="T16" s="1">
        <v>1841</v>
      </c>
      <c r="U16" s="1">
        <v>1734</v>
      </c>
      <c r="V16" s="19">
        <f t="shared" si="5"/>
        <v>6.1707035755478659E-2</v>
      </c>
      <c r="W16" s="1">
        <v>37</v>
      </c>
      <c r="X16" s="1">
        <v>30</v>
      </c>
      <c r="Y16" s="19">
        <f t="shared" si="6"/>
        <v>0.23333333333333334</v>
      </c>
      <c r="Z16" s="5">
        <v>3.4</v>
      </c>
      <c r="AA16" s="17">
        <f>X16/U16</f>
        <v>1.7301038062283738E-2</v>
      </c>
      <c r="AB16" s="17">
        <f>W16/T16</f>
        <v>2.0097772949483977E-2</v>
      </c>
      <c r="AC16" s="17">
        <f t="shared" si="7"/>
        <v>0.1616512764801738</v>
      </c>
      <c r="AD16" s="18">
        <f>O16/X16</f>
        <v>180.83333333333334</v>
      </c>
      <c r="AE16" s="18">
        <f>N16/W16</f>
        <v>167.56756756756758</v>
      </c>
      <c r="AF16" s="16">
        <f t="shared" si="8"/>
        <v>-7.3359073359073337E-2</v>
      </c>
      <c r="AG16">
        <f t="shared" si="9"/>
        <v>155</v>
      </c>
      <c r="AH16">
        <f t="shared" si="10"/>
        <v>155</v>
      </c>
      <c r="AI16" s="16">
        <f t="shared" si="11"/>
        <v>0</v>
      </c>
      <c r="AJ16" s="18">
        <f t="shared" si="12"/>
        <v>13.976099945681694</v>
      </c>
      <c r="AK16" s="18">
        <f t="shared" si="13"/>
        <v>14.034025374855824</v>
      </c>
      <c r="AL16" s="15">
        <f t="shared" si="14"/>
        <v>0.75903614457831325</v>
      </c>
    </row>
    <row r="17" spans="1:38" x14ac:dyDescent="0.35">
      <c r="A17" s="1" t="s">
        <v>15</v>
      </c>
      <c r="B17" s="6" t="s">
        <v>42</v>
      </c>
      <c r="C17" s="1">
        <v>16</v>
      </c>
      <c r="D17" s="1" t="s">
        <v>50</v>
      </c>
      <c r="E17" s="2">
        <v>627</v>
      </c>
      <c r="F17" s="2">
        <v>627</v>
      </c>
      <c r="G17" s="2">
        <f t="shared" si="0"/>
        <v>0</v>
      </c>
      <c r="H17" s="3">
        <f>E17*K17</f>
        <v>60192</v>
      </c>
      <c r="I17" s="3">
        <f>F17*L17</f>
        <v>55803</v>
      </c>
      <c r="J17" s="19">
        <f t="shared" si="1"/>
        <v>7.8651685393258425E-2</v>
      </c>
      <c r="K17" s="4">
        <v>96</v>
      </c>
      <c r="L17" s="4">
        <v>89</v>
      </c>
      <c r="M17" s="19">
        <f t="shared" si="2"/>
        <v>7.8651685393258425E-2</v>
      </c>
      <c r="N17" s="3">
        <f>E17*Q17</f>
        <v>49533</v>
      </c>
      <c r="O17" s="3">
        <f>F17*R17</f>
        <v>49533</v>
      </c>
      <c r="P17" s="19">
        <f t="shared" si="3"/>
        <v>0</v>
      </c>
      <c r="Q17" s="1">
        <v>79</v>
      </c>
      <c r="R17" s="1">
        <v>79</v>
      </c>
      <c r="S17" s="19">
        <f t="shared" si="4"/>
        <v>0</v>
      </c>
      <c r="T17" s="1">
        <v>12426</v>
      </c>
      <c r="U17" s="1">
        <v>12310</v>
      </c>
      <c r="V17" s="19">
        <f t="shared" si="5"/>
        <v>9.4232331437855404E-3</v>
      </c>
      <c r="W17" s="1">
        <v>69</v>
      </c>
      <c r="X17" s="4">
        <v>66.33</v>
      </c>
      <c r="Y17" s="19">
        <f t="shared" si="6"/>
        <v>4.0253279059249233E-2</v>
      </c>
      <c r="Z17" s="1">
        <v>3.9</v>
      </c>
      <c r="AA17" s="17">
        <f>X17/U17</f>
        <v>5.3883021933387489E-3</v>
      </c>
      <c r="AB17" s="17">
        <f>W17/T17</f>
        <v>5.5528730082085951E-3</v>
      </c>
      <c r="AC17" s="17">
        <f t="shared" si="7"/>
        <v>3.0542239274051069E-2</v>
      </c>
      <c r="AD17" s="18">
        <f>O17/X17</f>
        <v>746.76616915422892</v>
      </c>
      <c r="AE17" s="18">
        <f>N17/W17</f>
        <v>717.86956521739125</v>
      </c>
      <c r="AF17" s="16">
        <f t="shared" si="8"/>
        <v>-3.8695652173913193E-2</v>
      </c>
      <c r="AG17">
        <f t="shared" si="9"/>
        <v>627</v>
      </c>
      <c r="AH17">
        <f t="shared" si="10"/>
        <v>627</v>
      </c>
      <c r="AI17" s="16">
        <f t="shared" si="11"/>
        <v>0</v>
      </c>
      <c r="AJ17" s="18">
        <f t="shared" si="12"/>
        <v>8.8302752293577988</v>
      </c>
      <c r="AK17" s="18">
        <f t="shared" si="13"/>
        <v>8.5569455727051178</v>
      </c>
      <c r="AL17" s="15">
        <f t="shared" si="14"/>
        <v>0.5485714285714286</v>
      </c>
    </row>
    <row r="18" spans="1:38" x14ac:dyDescent="0.35">
      <c r="A18" s="1" t="s">
        <v>15</v>
      </c>
      <c r="B18" s="6" t="s">
        <v>43</v>
      </c>
      <c r="C18" s="1">
        <v>17</v>
      </c>
      <c r="D18" s="1" t="s">
        <v>50</v>
      </c>
      <c r="E18" s="2">
        <v>179</v>
      </c>
      <c r="F18" s="2">
        <v>169</v>
      </c>
      <c r="G18" s="2">
        <f t="shared" si="0"/>
        <v>10</v>
      </c>
      <c r="H18" s="3">
        <f>E18*K18</f>
        <v>13425</v>
      </c>
      <c r="I18" s="3">
        <f>F18*L18</f>
        <v>11661</v>
      </c>
      <c r="J18" s="19">
        <f t="shared" si="1"/>
        <v>0.15127347568819141</v>
      </c>
      <c r="K18" s="4">
        <v>75</v>
      </c>
      <c r="L18" s="4">
        <v>69</v>
      </c>
      <c r="M18" s="19">
        <f t="shared" si="2"/>
        <v>8.6956521739130432E-2</v>
      </c>
      <c r="N18" s="3">
        <f>E18*Q18</f>
        <v>18079</v>
      </c>
      <c r="O18" s="3">
        <f>F18*R18</f>
        <v>17576</v>
      </c>
      <c r="P18" s="19">
        <f t="shared" si="3"/>
        <v>2.8618570778334091E-2</v>
      </c>
      <c r="Q18" s="1">
        <v>101</v>
      </c>
      <c r="R18" s="1">
        <v>104</v>
      </c>
      <c r="S18" s="19">
        <f t="shared" si="4"/>
        <v>-2.8846153846153848E-2</v>
      </c>
      <c r="T18" s="1">
        <v>2263</v>
      </c>
      <c r="U18" s="1">
        <v>2389</v>
      </c>
      <c r="V18" s="19">
        <f t="shared" si="5"/>
        <v>-5.2741732942653829E-2</v>
      </c>
      <c r="W18" s="1">
        <v>91</v>
      </c>
      <c r="X18" s="1">
        <v>99</v>
      </c>
      <c r="Y18" s="19">
        <f t="shared" si="6"/>
        <v>-8.0808080808080815E-2</v>
      </c>
      <c r="Z18" s="1">
        <v>4.5</v>
      </c>
      <c r="AA18" s="17">
        <f>X18/U18</f>
        <v>4.1439933026370869E-2</v>
      </c>
      <c r="AB18" s="17">
        <f>W18/T18</f>
        <v>4.0212107821475919E-2</v>
      </c>
      <c r="AC18" s="17">
        <f t="shared" si="7"/>
        <v>-2.9629034489838741E-2</v>
      </c>
      <c r="AD18" s="18">
        <f>O18/X18</f>
        <v>177.53535353535352</v>
      </c>
      <c r="AE18" s="18">
        <f>N18/W18</f>
        <v>198.67032967032966</v>
      </c>
      <c r="AF18" s="16">
        <f t="shared" si="8"/>
        <v>0.11904657700060527</v>
      </c>
      <c r="AG18">
        <f t="shared" si="9"/>
        <v>169</v>
      </c>
      <c r="AH18">
        <f t="shared" si="10"/>
        <v>179</v>
      </c>
      <c r="AI18" s="16">
        <f t="shared" si="11"/>
        <v>5.9171597633136092E-2</v>
      </c>
      <c r="AJ18" s="18">
        <f t="shared" si="12"/>
        <v>13.921343349536015</v>
      </c>
      <c r="AK18" s="18">
        <f t="shared" si="13"/>
        <v>12.238174968606112</v>
      </c>
      <c r="AL18" s="15">
        <f t="shared" si="14"/>
        <v>0.42613636363636365</v>
      </c>
    </row>
    <row r="19" spans="1:38" x14ac:dyDescent="0.35">
      <c r="A19" s="1" t="s">
        <v>15</v>
      </c>
      <c r="B19" s="6" t="s">
        <v>44</v>
      </c>
      <c r="C19" s="1">
        <v>18</v>
      </c>
      <c r="D19" s="1" t="s">
        <v>50</v>
      </c>
      <c r="E19" s="2">
        <v>475</v>
      </c>
      <c r="F19" s="2">
        <v>475</v>
      </c>
      <c r="G19" s="2">
        <f t="shared" si="0"/>
        <v>0</v>
      </c>
      <c r="H19" s="3">
        <f>E19*K19</f>
        <v>28025</v>
      </c>
      <c r="I19" s="3">
        <f>F19*L19</f>
        <v>28500</v>
      </c>
      <c r="J19" s="19">
        <f t="shared" si="1"/>
        <v>-1.6666666666666666E-2</v>
      </c>
      <c r="K19" s="4">
        <v>59</v>
      </c>
      <c r="L19" s="4">
        <v>60</v>
      </c>
      <c r="M19" s="19">
        <f t="shared" si="2"/>
        <v>-1.6666666666666666E-2</v>
      </c>
      <c r="N19" s="3">
        <f>E19*Q19</f>
        <v>20425</v>
      </c>
      <c r="O19" s="3">
        <f>F19*R19</f>
        <v>20425</v>
      </c>
      <c r="P19" s="19">
        <f t="shared" si="3"/>
        <v>0</v>
      </c>
      <c r="Q19" s="1">
        <v>43</v>
      </c>
      <c r="R19" s="1">
        <v>43</v>
      </c>
      <c r="S19" s="19">
        <f t="shared" si="4"/>
        <v>0</v>
      </c>
      <c r="T19" s="1">
        <v>2266</v>
      </c>
      <c r="U19" s="1">
        <v>2172</v>
      </c>
      <c r="V19" s="19">
        <f t="shared" si="5"/>
        <v>4.3278084714548803E-2</v>
      </c>
      <c r="W19" s="1">
        <v>43</v>
      </c>
      <c r="X19" s="4">
        <v>37.799999999999997</v>
      </c>
      <c r="Y19" s="19">
        <f t="shared" si="6"/>
        <v>0.13756613756613764</v>
      </c>
      <c r="Z19" s="1">
        <v>4.2</v>
      </c>
      <c r="AA19" s="17">
        <f>X19/U19</f>
        <v>1.7403314917127072E-2</v>
      </c>
      <c r="AB19" s="17">
        <f>W19/T19</f>
        <v>1.8976169461606355E-2</v>
      </c>
      <c r="AC19" s="17">
        <f t="shared" si="7"/>
        <v>9.0376721444682617E-2</v>
      </c>
      <c r="AD19" s="18">
        <f>O19/X19</f>
        <v>540.34391534391534</v>
      </c>
      <c r="AE19" s="18">
        <f>N19/W19</f>
        <v>475</v>
      </c>
      <c r="AF19" s="16">
        <f t="shared" si="8"/>
        <v>-0.12093023255813953</v>
      </c>
      <c r="AG19">
        <f t="shared" si="9"/>
        <v>475</v>
      </c>
      <c r="AH19">
        <f t="shared" si="10"/>
        <v>475</v>
      </c>
      <c r="AI19" s="16">
        <f t="shared" si="11"/>
        <v>0</v>
      </c>
      <c r="AJ19" s="18">
        <f t="shared" si="12"/>
        <v>21.381288614298324</v>
      </c>
      <c r="AK19" s="18">
        <f t="shared" si="13"/>
        <v>22.525322283609576</v>
      </c>
      <c r="AL19" s="15">
        <f t="shared" si="14"/>
        <v>0.57843137254901966</v>
      </c>
    </row>
    <row r="20" spans="1:38" x14ac:dyDescent="0.35">
      <c r="A20" s="1" t="s">
        <v>15</v>
      </c>
      <c r="B20" s="6" t="s">
        <v>45</v>
      </c>
      <c r="C20" s="1">
        <v>19</v>
      </c>
      <c r="D20" s="1" t="s">
        <v>50</v>
      </c>
      <c r="E20" s="2">
        <v>180</v>
      </c>
      <c r="F20" s="2">
        <v>160</v>
      </c>
      <c r="G20" s="2">
        <f t="shared" si="0"/>
        <v>20</v>
      </c>
      <c r="H20" s="3">
        <f>E20*K20</f>
        <v>34020</v>
      </c>
      <c r="I20" s="3">
        <f>F20*L20</f>
        <v>27680</v>
      </c>
      <c r="J20" s="19">
        <f t="shared" si="1"/>
        <v>0.22904624277456648</v>
      </c>
      <c r="K20" s="4">
        <v>189</v>
      </c>
      <c r="L20" s="4">
        <v>173</v>
      </c>
      <c r="M20" s="19">
        <f t="shared" si="2"/>
        <v>9.2485549132947972E-2</v>
      </c>
      <c r="N20" s="3">
        <f>E20*Q20</f>
        <v>10980</v>
      </c>
      <c r="O20" s="3">
        <f>F20*R20</f>
        <v>9440</v>
      </c>
      <c r="P20" s="19">
        <f t="shared" si="3"/>
        <v>0.16313559322033899</v>
      </c>
      <c r="Q20" s="1">
        <v>61</v>
      </c>
      <c r="R20" s="1">
        <v>59</v>
      </c>
      <c r="S20" s="19">
        <f t="shared" si="4"/>
        <v>3.3898305084745763E-2</v>
      </c>
      <c r="T20" s="1">
        <v>5547</v>
      </c>
      <c r="U20" s="1">
        <v>5580</v>
      </c>
      <c r="V20" s="19">
        <f t="shared" si="5"/>
        <v>-5.9139784946236557E-3</v>
      </c>
      <c r="W20" s="1">
        <v>51</v>
      </c>
      <c r="X20" s="4">
        <v>55.3</v>
      </c>
      <c r="Y20" s="19">
        <f t="shared" si="6"/>
        <v>-7.7757685352622008E-2</v>
      </c>
      <c r="Z20" s="1">
        <v>3.8</v>
      </c>
      <c r="AA20" s="17">
        <f>X20/U20</f>
        <v>9.9103942652329739E-3</v>
      </c>
      <c r="AB20" s="17">
        <f>W20/T20</f>
        <v>9.1941590048674957E-3</v>
      </c>
      <c r="AC20" s="17">
        <f t="shared" si="7"/>
        <v>-7.2271116687872866E-2</v>
      </c>
      <c r="AD20" s="18">
        <f>O20/X20</f>
        <v>170.70524412296564</v>
      </c>
      <c r="AE20" s="18">
        <f>N20/W20</f>
        <v>215.29411764705881</v>
      </c>
      <c r="AF20" s="16">
        <f t="shared" si="8"/>
        <v>0.26120388833499497</v>
      </c>
      <c r="AG20">
        <f t="shared" si="9"/>
        <v>160</v>
      </c>
      <c r="AH20">
        <f t="shared" si="10"/>
        <v>180</v>
      </c>
      <c r="AI20" s="16">
        <f t="shared" si="11"/>
        <v>0.125</v>
      </c>
      <c r="AJ20" s="18">
        <f t="shared" si="12"/>
        <v>8.1124932395889662</v>
      </c>
      <c r="AK20" s="18">
        <f t="shared" si="13"/>
        <v>6.6523297491039424</v>
      </c>
      <c r="AL20" s="15">
        <f t="shared" si="14"/>
        <v>0.75600000000000001</v>
      </c>
    </row>
    <row r="21" spans="1:38" x14ac:dyDescent="0.35">
      <c r="A21" s="1" t="s">
        <v>15</v>
      </c>
      <c r="B21" s="6" t="s">
        <v>46</v>
      </c>
      <c r="C21" s="1">
        <v>20</v>
      </c>
      <c r="D21" s="1" t="s">
        <v>50</v>
      </c>
      <c r="E21" s="2">
        <v>475</v>
      </c>
      <c r="F21" s="2">
        <v>475</v>
      </c>
      <c r="G21" s="2">
        <f t="shared" si="0"/>
        <v>0</v>
      </c>
      <c r="H21" s="3">
        <f>E21*K21</f>
        <v>80750</v>
      </c>
      <c r="I21" s="3">
        <f>F21*L21</f>
        <v>75525</v>
      </c>
      <c r="J21" s="19">
        <f t="shared" si="1"/>
        <v>6.9182389937106917E-2</v>
      </c>
      <c r="K21" s="4">
        <v>170</v>
      </c>
      <c r="L21" s="4">
        <v>159</v>
      </c>
      <c r="M21" s="19">
        <f t="shared" si="2"/>
        <v>6.9182389937106917E-2</v>
      </c>
      <c r="N21" s="3">
        <f>E21*Q21</f>
        <v>15200</v>
      </c>
      <c r="O21" s="3">
        <f>F21*R21</f>
        <v>13775</v>
      </c>
      <c r="P21" s="19">
        <f t="shared" si="3"/>
        <v>0.10344827586206896</v>
      </c>
      <c r="Q21" s="1">
        <v>32</v>
      </c>
      <c r="R21" s="1">
        <v>29</v>
      </c>
      <c r="S21" s="19">
        <f t="shared" si="4"/>
        <v>0.10344827586206896</v>
      </c>
      <c r="T21" s="1">
        <v>4323</v>
      </c>
      <c r="U21" s="1">
        <v>3886</v>
      </c>
      <c r="V21" s="19">
        <f t="shared" si="5"/>
        <v>0.11245496654657745</v>
      </c>
      <c r="W21" s="1">
        <v>29</v>
      </c>
      <c r="X21" s="4">
        <v>29.5</v>
      </c>
      <c r="Y21" s="19">
        <f t="shared" si="6"/>
        <v>-1.6949152542372881E-2</v>
      </c>
      <c r="Z21" s="5">
        <v>3.7</v>
      </c>
      <c r="AA21" s="17">
        <f>X21/U21</f>
        <v>7.5913535769428714E-3</v>
      </c>
      <c r="AB21" s="17">
        <f>W21/T21</f>
        <v>6.7083044182280824E-3</v>
      </c>
      <c r="AC21" s="17">
        <f t="shared" si="7"/>
        <v>-0.11632301799205662</v>
      </c>
      <c r="AD21" s="18">
        <f>O21/X21</f>
        <v>466.94915254237287</v>
      </c>
      <c r="AE21" s="18">
        <f>N21/W21</f>
        <v>524.13793103448279</v>
      </c>
      <c r="AF21" s="16">
        <f t="shared" si="8"/>
        <v>0.12247324613555301</v>
      </c>
      <c r="AG21">
        <f t="shared" si="9"/>
        <v>475</v>
      </c>
      <c r="AH21">
        <f t="shared" si="10"/>
        <v>475</v>
      </c>
      <c r="AI21" s="16">
        <f t="shared" si="11"/>
        <v>0</v>
      </c>
      <c r="AJ21" s="18">
        <f t="shared" si="12"/>
        <v>22.195234790654638</v>
      </c>
      <c r="AK21" s="18">
        <f t="shared" si="13"/>
        <v>22.979927946474525</v>
      </c>
      <c r="AL21" s="15">
        <f t="shared" si="14"/>
        <v>0.84158415841584155</v>
      </c>
    </row>
    <row r="22" spans="1:38" x14ac:dyDescent="0.35">
      <c r="A22" s="1" t="s">
        <v>17</v>
      </c>
      <c r="B22" s="1" t="s">
        <v>16</v>
      </c>
      <c r="C22" s="1">
        <v>1</v>
      </c>
      <c r="D22" s="1" t="s">
        <v>48</v>
      </c>
      <c r="E22" s="2">
        <v>279</v>
      </c>
      <c r="F22" s="2">
        <v>249</v>
      </c>
      <c r="G22" s="2">
        <f t="shared" si="0"/>
        <v>30</v>
      </c>
      <c r="H22" s="3">
        <f>E22*K22</f>
        <v>37944</v>
      </c>
      <c r="I22" s="3">
        <f>F22*L22</f>
        <v>31623</v>
      </c>
      <c r="J22" s="19">
        <f t="shared" si="1"/>
        <v>0.19988615880846219</v>
      </c>
      <c r="K22" s="4">
        <v>136</v>
      </c>
      <c r="L22" s="4">
        <v>127</v>
      </c>
      <c r="M22" s="19">
        <f t="shared" si="2"/>
        <v>7.0866141732283464E-2</v>
      </c>
      <c r="N22" s="3">
        <f>E22*Q22</f>
        <v>35991</v>
      </c>
      <c r="O22" s="3">
        <f>F22*R22</f>
        <v>27888</v>
      </c>
      <c r="P22" s="19">
        <f t="shared" si="3"/>
        <v>0.29055507745266779</v>
      </c>
      <c r="Q22" s="1">
        <v>129</v>
      </c>
      <c r="R22" s="1">
        <v>112</v>
      </c>
      <c r="S22" s="19">
        <f t="shared" si="4"/>
        <v>0.15178571428571427</v>
      </c>
      <c r="T22" s="1">
        <v>7627</v>
      </c>
      <c r="U22" s="1">
        <v>6685</v>
      </c>
      <c r="V22" s="19">
        <f t="shared" si="5"/>
        <v>0.14091249065071054</v>
      </c>
      <c r="W22" s="1">
        <v>90</v>
      </c>
      <c r="X22" s="1">
        <v>81</v>
      </c>
      <c r="Y22" s="19">
        <f t="shared" si="6"/>
        <v>0.1111111111111111</v>
      </c>
      <c r="Z22" s="1">
        <v>4.5</v>
      </c>
      <c r="AA22" s="17">
        <f>X22/U22</f>
        <v>1.2116679132385939E-2</v>
      </c>
      <c r="AB22" s="17">
        <f>W22/T22</f>
        <v>1.1800183558410908E-2</v>
      </c>
      <c r="AC22" s="17">
        <f t="shared" si="7"/>
        <v>-2.6120653234852839E-2</v>
      </c>
      <c r="AD22" s="18">
        <f>O22/X22</f>
        <v>344.2962962962963</v>
      </c>
      <c r="AE22" s="18">
        <f>N22/W22</f>
        <v>399.9</v>
      </c>
      <c r="AF22" s="16">
        <f t="shared" si="8"/>
        <v>0.16149956970740093</v>
      </c>
      <c r="AG22">
        <f t="shared" si="9"/>
        <v>249</v>
      </c>
      <c r="AH22">
        <f t="shared" si="10"/>
        <v>279</v>
      </c>
      <c r="AI22" s="16">
        <f t="shared" si="11"/>
        <v>0.12048192771084337</v>
      </c>
      <c r="AJ22" s="18">
        <f t="shared" si="12"/>
        <v>9.6938507932345619</v>
      </c>
      <c r="AK22" s="18">
        <f t="shared" si="13"/>
        <v>8.902169035153328</v>
      </c>
      <c r="AL22" s="15">
        <f t="shared" si="14"/>
        <v>0.51320754716981132</v>
      </c>
    </row>
    <row r="23" spans="1:38" x14ac:dyDescent="0.35">
      <c r="A23" s="1" t="s">
        <v>17</v>
      </c>
      <c r="B23" s="6" t="s">
        <v>28</v>
      </c>
      <c r="C23" s="1">
        <v>2</v>
      </c>
      <c r="D23" s="1" t="s">
        <v>48</v>
      </c>
      <c r="E23" s="2">
        <v>354</v>
      </c>
      <c r="F23" s="2">
        <v>354</v>
      </c>
      <c r="G23" s="2">
        <f t="shared" si="0"/>
        <v>0</v>
      </c>
      <c r="H23" s="3">
        <f>E23*K23</f>
        <v>54162</v>
      </c>
      <c r="I23" s="3">
        <f>F23*L23</f>
        <v>53454</v>
      </c>
      <c r="J23" s="19">
        <f t="shared" si="1"/>
        <v>1.3245033112582781E-2</v>
      </c>
      <c r="K23" s="4">
        <v>153</v>
      </c>
      <c r="L23" s="4">
        <v>151</v>
      </c>
      <c r="M23" s="19">
        <f t="shared" si="2"/>
        <v>1.3245033112582781E-2</v>
      </c>
      <c r="N23" s="3">
        <f>E23*Q23</f>
        <v>38586</v>
      </c>
      <c r="O23" s="3">
        <f>F23*R23</f>
        <v>33276</v>
      </c>
      <c r="P23" s="19">
        <f t="shared" si="3"/>
        <v>0.15957446808510639</v>
      </c>
      <c r="Q23" s="1">
        <v>109</v>
      </c>
      <c r="R23" s="1">
        <v>94</v>
      </c>
      <c r="S23" s="19">
        <f t="shared" si="4"/>
        <v>0.15957446808510639</v>
      </c>
      <c r="T23" s="1">
        <v>11721</v>
      </c>
      <c r="U23" s="1">
        <v>12014</v>
      </c>
      <c r="V23" s="19">
        <f t="shared" si="5"/>
        <v>-2.4388213750624273E-2</v>
      </c>
      <c r="W23" s="1">
        <v>99</v>
      </c>
      <c r="X23" s="1">
        <v>89</v>
      </c>
      <c r="Y23" s="19">
        <f t="shared" si="6"/>
        <v>0.11235955056179775</v>
      </c>
      <c r="Z23" s="5">
        <v>2.5999999999999996</v>
      </c>
      <c r="AA23" s="17">
        <f>X23/U23</f>
        <v>7.4080239720326286E-3</v>
      </c>
      <c r="AB23" s="17">
        <f>W23/T23</f>
        <v>8.4463782953672888E-3</v>
      </c>
      <c r="AC23" s="17">
        <f t="shared" si="7"/>
        <v>0.14016616674766977</v>
      </c>
      <c r="AD23" s="18">
        <f>O23/X23</f>
        <v>373.88764044943821</v>
      </c>
      <c r="AE23" s="18">
        <f>N23/W23</f>
        <v>389.75757575757575</v>
      </c>
      <c r="AF23" s="16">
        <f t="shared" si="8"/>
        <v>4.2445733935095598E-2</v>
      </c>
      <c r="AG23">
        <f t="shared" si="9"/>
        <v>354</v>
      </c>
      <c r="AH23">
        <f t="shared" si="10"/>
        <v>354</v>
      </c>
      <c r="AI23" s="16">
        <f t="shared" si="11"/>
        <v>0</v>
      </c>
      <c r="AJ23" s="18">
        <f t="shared" si="12"/>
        <v>7.9129767084719731</v>
      </c>
      <c r="AK23" s="18">
        <f t="shared" si="13"/>
        <v>7.2190777426335941</v>
      </c>
      <c r="AL23" s="15">
        <f t="shared" si="14"/>
        <v>0.58396946564885499</v>
      </c>
    </row>
    <row r="24" spans="1:38" x14ac:dyDescent="0.35">
      <c r="A24" s="1" t="s">
        <v>17</v>
      </c>
      <c r="B24" s="6" t="s">
        <v>29</v>
      </c>
      <c r="C24" s="1">
        <v>3</v>
      </c>
      <c r="D24" s="1" t="s">
        <v>48</v>
      </c>
      <c r="E24" s="2">
        <v>198</v>
      </c>
      <c r="F24" s="2">
        <v>198</v>
      </c>
      <c r="G24" s="2">
        <f t="shared" si="0"/>
        <v>0</v>
      </c>
      <c r="H24" s="3">
        <f>E24*K24</f>
        <v>25938</v>
      </c>
      <c r="I24" s="3">
        <f>F24*L24</f>
        <v>24156</v>
      </c>
      <c r="J24" s="19">
        <f t="shared" si="1"/>
        <v>7.3770491803278687E-2</v>
      </c>
      <c r="K24" s="4">
        <v>131</v>
      </c>
      <c r="L24" s="4">
        <v>122</v>
      </c>
      <c r="M24" s="19">
        <f t="shared" si="2"/>
        <v>7.3770491803278687E-2</v>
      </c>
      <c r="N24" s="3">
        <f>E24*Q24</f>
        <v>15642</v>
      </c>
      <c r="O24" s="3">
        <f>F24*R24</f>
        <v>15048</v>
      </c>
      <c r="P24" s="19">
        <f t="shared" si="3"/>
        <v>3.9473684210526314E-2</v>
      </c>
      <c r="Q24" s="1">
        <v>79</v>
      </c>
      <c r="R24" s="1">
        <v>76</v>
      </c>
      <c r="S24" s="19">
        <f t="shared" si="4"/>
        <v>3.9473684210526314E-2</v>
      </c>
      <c r="T24" s="1">
        <v>2566</v>
      </c>
      <c r="U24" s="1">
        <v>2277</v>
      </c>
      <c r="V24" s="19">
        <f t="shared" si="5"/>
        <v>0.12692138779095302</v>
      </c>
      <c r="W24" s="1">
        <v>69</v>
      </c>
      <c r="X24" s="1">
        <v>71</v>
      </c>
      <c r="Y24" s="19">
        <f t="shared" si="6"/>
        <v>-2.8169014084507043E-2</v>
      </c>
      <c r="Z24" s="5">
        <v>3.9000000000000004</v>
      </c>
      <c r="AA24" s="17">
        <f>X24/U24</f>
        <v>3.1181379007465964E-2</v>
      </c>
      <c r="AB24" s="17">
        <f>W24/T24</f>
        <v>2.6890101325019487E-2</v>
      </c>
      <c r="AC24" s="17">
        <f t="shared" si="7"/>
        <v>-0.13762308849198068</v>
      </c>
      <c r="AD24" s="18">
        <f>O24/X24</f>
        <v>211.94366197183098</v>
      </c>
      <c r="AE24" s="18">
        <f>N24/W24</f>
        <v>226.69565217391303</v>
      </c>
      <c r="AF24" s="16">
        <f t="shared" si="8"/>
        <v>6.9603356216628526E-2</v>
      </c>
      <c r="AG24">
        <f t="shared" si="9"/>
        <v>198</v>
      </c>
      <c r="AH24">
        <f t="shared" si="10"/>
        <v>198</v>
      </c>
      <c r="AI24" s="16">
        <f t="shared" si="11"/>
        <v>0</v>
      </c>
      <c r="AJ24" s="18">
        <f t="shared" si="12"/>
        <v>16.204208885424787</v>
      </c>
      <c r="AK24" s="18">
        <f t="shared" si="13"/>
        <v>17.217391304347824</v>
      </c>
      <c r="AL24" s="15">
        <f t="shared" si="14"/>
        <v>0.62380952380952381</v>
      </c>
    </row>
    <row r="25" spans="1:38" x14ac:dyDescent="0.35">
      <c r="A25" s="1" t="s">
        <v>17</v>
      </c>
      <c r="B25" s="6" t="s">
        <v>30</v>
      </c>
      <c r="C25" s="1">
        <v>4</v>
      </c>
      <c r="D25" s="1" t="s">
        <v>48</v>
      </c>
      <c r="E25" s="2">
        <v>150</v>
      </c>
      <c r="F25" s="2">
        <v>149</v>
      </c>
      <c r="G25" s="2">
        <f t="shared" si="0"/>
        <v>1</v>
      </c>
      <c r="H25" s="3">
        <f>E25*K25</f>
        <v>8550</v>
      </c>
      <c r="I25" s="3">
        <f>F25*L25</f>
        <v>8344</v>
      </c>
      <c r="J25" s="19">
        <f t="shared" si="1"/>
        <v>2.4688398849472677E-2</v>
      </c>
      <c r="K25" s="4">
        <v>57</v>
      </c>
      <c r="L25" s="4">
        <v>56</v>
      </c>
      <c r="M25" s="19">
        <f t="shared" si="2"/>
        <v>1.7857142857142856E-2</v>
      </c>
      <c r="N25" s="3">
        <f>E25*Q25</f>
        <v>5400</v>
      </c>
      <c r="O25" s="3">
        <f>F25*R25</f>
        <v>4768</v>
      </c>
      <c r="P25" s="19">
        <f t="shared" si="3"/>
        <v>0.1325503355704698</v>
      </c>
      <c r="Q25" s="1">
        <v>36</v>
      </c>
      <c r="R25" s="1">
        <v>32</v>
      </c>
      <c r="S25" s="19">
        <f t="shared" si="4"/>
        <v>0.125</v>
      </c>
      <c r="T25" s="1">
        <v>10396</v>
      </c>
      <c r="U25" s="1">
        <v>11076</v>
      </c>
      <c r="V25" s="19">
        <f t="shared" si="5"/>
        <v>-6.1394005055976884E-2</v>
      </c>
      <c r="W25" s="1">
        <v>32</v>
      </c>
      <c r="X25" s="1">
        <v>27</v>
      </c>
      <c r="Y25" s="19">
        <f t="shared" si="6"/>
        <v>0.18518518518518517</v>
      </c>
      <c r="Z25" s="5">
        <v>2.2999999999999998</v>
      </c>
      <c r="AA25" s="17">
        <f>X25/U25</f>
        <v>2.437703141928494E-3</v>
      </c>
      <c r="AB25" s="17">
        <f>W25/T25</f>
        <v>3.0781069642170067E-3</v>
      </c>
      <c r="AC25" s="17">
        <f t="shared" si="7"/>
        <v>0.26270787909879878</v>
      </c>
      <c r="AD25" s="18">
        <f>O25/X25</f>
        <v>176.59259259259258</v>
      </c>
      <c r="AE25" s="18">
        <f>N25/W25</f>
        <v>168.75</v>
      </c>
      <c r="AF25" s="16">
        <f t="shared" si="8"/>
        <v>-4.4410654362416042E-2</v>
      </c>
      <c r="AG25">
        <f t="shared" si="9"/>
        <v>149</v>
      </c>
      <c r="AH25">
        <f t="shared" si="10"/>
        <v>150</v>
      </c>
      <c r="AI25" s="16">
        <f t="shared" si="11"/>
        <v>6.7114093959731542E-3</v>
      </c>
      <c r="AJ25" s="18">
        <f t="shared" si="12"/>
        <v>1.3418622547133512</v>
      </c>
      <c r="AK25" s="18">
        <f t="shared" si="13"/>
        <v>1.1838208739617191</v>
      </c>
      <c r="AL25" s="15">
        <f t="shared" si="14"/>
        <v>0.61290322580645162</v>
      </c>
    </row>
    <row r="26" spans="1:38" x14ac:dyDescent="0.35">
      <c r="A26" s="1" t="s">
        <v>17</v>
      </c>
      <c r="B26" s="6" t="s">
        <v>31</v>
      </c>
      <c r="C26" s="1">
        <v>5</v>
      </c>
      <c r="D26" s="1" t="s">
        <v>48</v>
      </c>
      <c r="E26" s="2">
        <v>506</v>
      </c>
      <c r="F26" s="2">
        <v>499.9</v>
      </c>
      <c r="G26" s="2">
        <f t="shared" si="0"/>
        <v>6.1000000000000227</v>
      </c>
      <c r="H26" s="3">
        <f>E26*K26</f>
        <v>86526</v>
      </c>
      <c r="I26" s="3">
        <f>F26*L26</f>
        <v>79984</v>
      </c>
      <c r="J26" s="19">
        <f t="shared" si="1"/>
        <v>8.1791358271654332E-2</v>
      </c>
      <c r="K26" s="4">
        <v>171</v>
      </c>
      <c r="L26" s="4">
        <v>160</v>
      </c>
      <c r="M26" s="19">
        <f t="shared" si="2"/>
        <v>6.8750000000000006E-2</v>
      </c>
      <c r="N26" s="3">
        <f>E26*Q26</f>
        <v>25300</v>
      </c>
      <c r="O26" s="3">
        <f>F26*R26</f>
        <v>21995.599999999999</v>
      </c>
      <c r="P26" s="19">
        <f t="shared" si="3"/>
        <v>0.15023004600920192</v>
      </c>
      <c r="Q26" s="1">
        <v>50</v>
      </c>
      <c r="R26" s="1">
        <v>44</v>
      </c>
      <c r="S26" s="19">
        <f t="shared" si="4"/>
        <v>0.13636363636363635</v>
      </c>
      <c r="T26" s="1">
        <v>4665</v>
      </c>
      <c r="U26" s="1">
        <v>4755</v>
      </c>
      <c r="V26" s="19">
        <f t="shared" si="5"/>
        <v>-1.8927444794952682E-2</v>
      </c>
      <c r="W26" s="1">
        <v>40</v>
      </c>
      <c r="X26" s="1">
        <v>39</v>
      </c>
      <c r="Y26" s="19">
        <f t="shared" si="6"/>
        <v>2.564102564102564E-2</v>
      </c>
      <c r="Z26" s="1">
        <v>4</v>
      </c>
      <c r="AA26" s="17">
        <f>X26/U26</f>
        <v>8.201892744479496E-3</v>
      </c>
      <c r="AB26" s="17">
        <f>W26/T26</f>
        <v>8.5744908896034297E-3</v>
      </c>
      <c r="AC26" s="17">
        <f t="shared" si="7"/>
        <v>4.5428312309341148E-2</v>
      </c>
      <c r="AD26" s="18">
        <f>O26/X26</f>
        <v>563.98974358974351</v>
      </c>
      <c r="AE26" s="18">
        <f>N26/W26</f>
        <v>632.5</v>
      </c>
      <c r="AF26" s="16">
        <f t="shared" si="8"/>
        <v>0.12147429485897195</v>
      </c>
      <c r="AG26">
        <f t="shared" si="9"/>
        <v>499.9</v>
      </c>
      <c r="AH26">
        <f t="shared" si="10"/>
        <v>506</v>
      </c>
      <c r="AI26" s="16">
        <f t="shared" si="11"/>
        <v>1.2202440488097665E-2</v>
      </c>
      <c r="AJ26" s="18">
        <f t="shared" si="12"/>
        <v>23.97127545551983</v>
      </c>
      <c r="AK26" s="18">
        <f t="shared" si="13"/>
        <v>21.446813880126186</v>
      </c>
      <c r="AL26" s="15">
        <f t="shared" si="14"/>
        <v>0.77375565610859731</v>
      </c>
    </row>
    <row r="27" spans="1:38" x14ac:dyDescent="0.35">
      <c r="A27" s="1" t="s">
        <v>17</v>
      </c>
      <c r="B27" s="6" t="s">
        <v>32</v>
      </c>
      <c r="C27" s="1">
        <v>6</v>
      </c>
      <c r="D27" s="1" t="s">
        <v>48</v>
      </c>
      <c r="E27" s="2">
        <v>421</v>
      </c>
      <c r="F27" s="2">
        <v>399</v>
      </c>
      <c r="G27" s="2">
        <f t="shared" si="0"/>
        <v>22</v>
      </c>
      <c r="H27" s="3">
        <f>E27*K27</f>
        <v>34522</v>
      </c>
      <c r="I27" s="3">
        <f>F27*L27</f>
        <v>33117</v>
      </c>
      <c r="J27" s="19">
        <f t="shared" si="1"/>
        <v>4.242534045958269E-2</v>
      </c>
      <c r="K27" s="4">
        <v>82</v>
      </c>
      <c r="L27" s="4">
        <v>83</v>
      </c>
      <c r="M27" s="19">
        <f t="shared" si="2"/>
        <v>-1.2048192771084338E-2</v>
      </c>
      <c r="N27" s="3">
        <f>E27*Q27</f>
        <v>13051</v>
      </c>
      <c r="O27" s="3">
        <f>F27*R27</f>
        <v>11172</v>
      </c>
      <c r="P27" s="19">
        <f t="shared" si="3"/>
        <v>0.16818832796276406</v>
      </c>
      <c r="Q27" s="1">
        <v>31</v>
      </c>
      <c r="R27" s="1">
        <v>28</v>
      </c>
      <c r="S27" s="19">
        <f t="shared" si="4"/>
        <v>0.10714285714285714</v>
      </c>
      <c r="T27" s="1">
        <v>12263</v>
      </c>
      <c r="U27" s="1">
        <v>10994</v>
      </c>
      <c r="V27" s="19">
        <f t="shared" si="5"/>
        <v>0.11542659632526833</v>
      </c>
      <c r="W27" s="1">
        <v>27</v>
      </c>
      <c r="X27" s="4">
        <v>33.6</v>
      </c>
      <c r="Y27" s="19">
        <f t="shared" si="6"/>
        <v>-0.19642857142857145</v>
      </c>
      <c r="Z27" s="5">
        <v>2.8</v>
      </c>
      <c r="AA27" s="17">
        <f>X27/U27</f>
        <v>3.0562124795342916E-3</v>
      </c>
      <c r="AB27" s="17">
        <f>W27/T27</f>
        <v>2.2017450868466117E-3</v>
      </c>
      <c r="AC27" s="17">
        <f t="shared" si="7"/>
        <v>-0.27958376533358192</v>
      </c>
      <c r="AD27" s="18">
        <f>O27/X27</f>
        <v>332.5</v>
      </c>
      <c r="AE27" s="18">
        <f>N27/W27</f>
        <v>483.37037037037038</v>
      </c>
      <c r="AF27" s="16">
        <f t="shared" si="8"/>
        <v>0.4537454747981064</v>
      </c>
      <c r="AG27">
        <f t="shared" si="9"/>
        <v>399</v>
      </c>
      <c r="AH27">
        <f t="shared" si="10"/>
        <v>421</v>
      </c>
      <c r="AI27" s="16">
        <f t="shared" si="11"/>
        <v>5.5137844611528819E-2</v>
      </c>
      <c r="AJ27" s="18">
        <f t="shared" si="12"/>
        <v>3.8793932969094023</v>
      </c>
      <c r="AK27" s="18">
        <f t="shared" si="13"/>
        <v>4.0284700745861377</v>
      </c>
      <c r="AL27" s="15">
        <f t="shared" si="14"/>
        <v>0.72566371681415931</v>
      </c>
    </row>
    <row r="28" spans="1:38" x14ac:dyDescent="0.35">
      <c r="A28" s="1" t="s">
        <v>17</v>
      </c>
      <c r="B28" s="6" t="s">
        <v>33</v>
      </c>
      <c r="C28" s="1">
        <v>7</v>
      </c>
      <c r="D28" s="1" t="s">
        <v>48</v>
      </c>
      <c r="E28" s="2">
        <v>419</v>
      </c>
      <c r="F28" s="2">
        <v>419</v>
      </c>
      <c r="G28" s="2">
        <f t="shared" si="0"/>
        <v>0</v>
      </c>
      <c r="H28" s="3">
        <f>E28*K28</f>
        <v>65783</v>
      </c>
      <c r="I28" s="3">
        <f>F28*L28</f>
        <v>65364</v>
      </c>
      <c r="J28" s="19">
        <f t="shared" si="1"/>
        <v>6.41025641025641E-3</v>
      </c>
      <c r="K28" s="4">
        <v>157</v>
      </c>
      <c r="L28" s="4">
        <v>156</v>
      </c>
      <c r="M28" s="19">
        <f t="shared" si="2"/>
        <v>6.41025641025641E-3</v>
      </c>
      <c r="N28" s="3">
        <f>E28*Q28</f>
        <v>20112</v>
      </c>
      <c r="O28" s="3">
        <f>F28*R28</f>
        <v>19274</v>
      </c>
      <c r="P28" s="19">
        <f t="shared" si="3"/>
        <v>4.3478260869565216E-2</v>
      </c>
      <c r="Q28" s="1">
        <v>48</v>
      </c>
      <c r="R28" s="1">
        <v>46</v>
      </c>
      <c r="S28" s="19">
        <f t="shared" si="4"/>
        <v>4.3478260869565216E-2</v>
      </c>
      <c r="T28" s="1">
        <v>8964</v>
      </c>
      <c r="U28" s="1">
        <v>8798</v>
      </c>
      <c r="V28" s="19">
        <f t="shared" si="5"/>
        <v>1.8867924528301886E-2</v>
      </c>
      <c r="W28" s="1">
        <v>38</v>
      </c>
      <c r="X28" s="4">
        <v>54.78</v>
      </c>
      <c r="Y28" s="19">
        <f t="shared" si="6"/>
        <v>-0.3063161737860533</v>
      </c>
      <c r="Z28" s="5">
        <v>2.7</v>
      </c>
      <c r="AA28" s="17">
        <f>X28/U28</f>
        <v>6.2264150943396228E-3</v>
      </c>
      <c r="AB28" s="17">
        <f>W28/T28</f>
        <v>4.2391789379741191E-3</v>
      </c>
      <c r="AC28" s="17">
        <f t="shared" si="7"/>
        <v>-0.319162170567793</v>
      </c>
      <c r="AD28" s="18">
        <f>O28/X28</f>
        <v>351.84373859072656</v>
      </c>
      <c r="AE28" s="18">
        <f>N28/W28</f>
        <v>529.26315789473688</v>
      </c>
      <c r="AF28" s="16">
        <f t="shared" si="8"/>
        <v>0.50425629290617857</v>
      </c>
      <c r="AG28">
        <f t="shared" si="9"/>
        <v>419</v>
      </c>
      <c r="AH28">
        <f t="shared" si="10"/>
        <v>419</v>
      </c>
      <c r="AI28" s="16">
        <f t="shared" si="11"/>
        <v>0</v>
      </c>
      <c r="AJ28" s="18">
        <f t="shared" si="12"/>
        <v>9.5822177599286036</v>
      </c>
      <c r="AK28" s="18">
        <f t="shared" si="13"/>
        <v>9.6201409411229832</v>
      </c>
      <c r="AL28" s="15">
        <f t="shared" si="14"/>
        <v>0.76585365853658538</v>
      </c>
    </row>
    <row r="29" spans="1:38" x14ac:dyDescent="0.35">
      <c r="A29" s="1" t="s">
        <v>17</v>
      </c>
      <c r="B29" s="6" t="s">
        <v>34</v>
      </c>
      <c r="C29" s="1">
        <v>8</v>
      </c>
      <c r="D29" s="1" t="s">
        <v>49</v>
      </c>
      <c r="E29" s="2">
        <v>175</v>
      </c>
      <c r="F29" s="2">
        <v>169.9</v>
      </c>
      <c r="G29" s="2">
        <f t="shared" si="0"/>
        <v>5.0999999999999943</v>
      </c>
      <c r="H29" s="3">
        <f>E29*K29</f>
        <v>21350</v>
      </c>
      <c r="I29" s="3">
        <f>F29*L29</f>
        <v>19368.600000000002</v>
      </c>
      <c r="J29" s="19">
        <f t="shared" si="1"/>
        <v>0.10229959831892844</v>
      </c>
      <c r="K29" s="4">
        <v>122</v>
      </c>
      <c r="L29" s="4">
        <v>114</v>
      </c>
      <c r="M29" s="19">
        <f t="shared" si="2"/>
        <v>7.0175438596491224E-2</v>
      </c>
      <c r="N29" s="3">
        <f>E29*Q29</f>
        <v>19775</v>
      </c>
      <c r="O29" s="3">
        <f>F29*R29</f>
        <v>17669.600000000002</v>
      </c>
      <c r="P29" s="19">
        <f t="shared" si="3"/>
        <v>0.1191538008783446</v>
      </c>
      <c r="Q29" s="1">
        <v>113</v>
      </c>
      <c r="R29" s="1">
        <v>104</v>
      </c>
      <c r="S29" s="19">
        <f t="shared" si="4"/>
        <v>8.6538461538461536E-2</v>
      </c>
      <c r="T29" s="1">
        <v>7346</v>
      </c>
      <c r="U29" s="1">
        <v>7984</v>
      </c>
      <c r="V29" s="19">
        <f t="shared" si="5"/>
        <v>-7.9909819639278554E-2</v>
      </c>
      <c r="W29" s="1">
        <v>103</v>
      </c>
      <c r="X29" s="1">
        <v>99</v>
      </c>
      <c r="Y29" s="19">
        <f t="shared" si="6"/>
        <v>4.0404040404040407E-2</v>
      </c>
      <c r="Z29" s="1">
        <v>4.3</v>
      </c>
      <c r="AA29" s="17">
        <f>X29/U29</f>
        <v>1.2399799599198397E-2</v>
      </c>
      <c r="AB29" s="17">
        <f>W29/T29</f>
        <v>1.4021236046828206E-2</v>
      </c>
      <c r="AC29" s="17">
        <f t="shared" si="7"/>
        <v>0.13076311715026659</v>
      </c>
      <c r="AD29" s="18">
        <f>O29/X29</f>
        <v>178.48080808080809</v>
      </c>
      <c r="AE29" s="18">
        <f>N29/W29</f>
        <v>191.99029126213591</v>
      </c>
      <c r="AF29" s="16">
        <f t="shared" si="8"/>
        <v>7.5691517349088522E-2</v>
      </c>
      <c r="AG29">
        <f t="shared" si="9"/>
        <v>169.9</v>
      </c>
      <c r="AH29">
        <f t="shared" si="10"/>
        <v>175</v>
      </c>
      <c r="AI29" s="16">
        <f t="shared" si="11"/>
        <v>3.0017657445556175E-2</v>
      </c>
      <c r="AJ29" s="18">
        <f t="shared" si="12"/>
        <v>5.5982847808331062</v>
      </c>
      <c r="AK29" s="18">
        <f t="shared" si="13"/>
        <v>4.6390531062124252</v>
      </c>
      <c r="AL29" s="15">
        <f t="shared" si="14"/>
        <v>0.51914893617021274</v>
      </c>
    </row>
    <row r="30" spans="1:38" x14ac:dyDescent="0.35">
      <c r="A30" s="1" t="s">
        <v>17</v>
      </c>
      <c r="B30" s="6" t="s">
        <v>35</v>
      </c>
      <c r="C30" s="1">
        <v>9</v>
      </c>
      <c r="D30" s="1" t="s">
        <v>49</v>
      </c>
      <c r="E30" s="2">
        <v>139</v>
      </c>
      <c r="F30" s="2">
        <v>119</v>
      </c>
      <c r="G30" s="2">
        <f t="shared" si="0"/>
        <v>20</v>
      </c>
      <c r="H30" s="3">
        <f>E30*K30</f>
        <v>14873</v>
      </c>
      <c r="I30" s="3">
        <f>F30*L30</f>
        <v>11424</v>
      </c>
      <c r="J30" s="19">
        <f t="shared" si="1"/>
        <v>0.30190826330532211</v>
      </c>
      <c r="K30" s="4">
        <v>107</v>
      </c>
      <c r="L30" s="4">
        <v>96</v>
      </c>
      <c r="M30" s="19">
        <f t="shared" si="2"/>
        <v>0.11458333333333333</v>
      </c>
      <c r="N30" s="3">
        <f>E30*Q30</f>
        <v>9313</v>
      </c>
      <c r="O30" s="3">
        <f>F30*R30</f>
        <v>7616</v>
      </c>
      <c r="P30" s="19">
        <f t="shared" si="3"/>
        <v>0.22282037815126052</v>
      </c>
      <c r="Q30" s="1">
        <v>67</v>
      </c>
      <c r="R30" s="1">
        <v>64</v>
      </c>
      <c r="S30" s="19">
        <f t="shared" si="4"/>
        <v>4.6875E-2</v>
      </c>
      <c r="T30" s="1">
        <v>3728</v>
      </c>
      <c r="U30" s="1">
        <v>3738</v>
      </c>
      <c r="V30" s="19">
        <f t="shared" si="5"/>
        <v>-2.6752273943285178E-3</v>
      </c>
      <c r="W30" s="1">
        <v>57</v>
      </c>
      <c r="X30" s="4">
        <v>55.44</v>
      </c>
      <c r="Y30" s="19">
        <f t="shared" si="6"/>
        <v>2.8138528138528181E-2</v>
      </c>
      <c r="Z30" s="5">
        <v>2</v>
      </c>
      <c r="AA30" s="17">
        <f>X30/U30</f>
        <v>1.4831460674157302E-2</v>
      </c>
      <c r="AB30" s="17">
        <f>W30/T30</f>
        <v>1.5289699570815451E-2</v>
      </c>
      <c r="AC30" s="17">
        <f t="shared" si="7"/>
        <v>3.0896410456496378E-2</v>
      </c>
      <c r="AD30" s="18">
        <f>O30/X30</f>
        <v>137.37373737373738</v>
      </c>
      <c r="AE30" s="18">
        <f>N30/W30</f>
        <v>163.38596491228071</v>
      </c>
      <c r="AF30" s="16">
        <f t="shared" si="8"/>
        <v>0.18935371517027863</v>
      </c>
      <c r="AG30">
        <f t="shared" si="9"/>
        <v>119</v>
      </c>
      <c r="AH30">
        <f t="shared" si="10"/>
        <v>139</v>
      </c>
      <c r="AI30" s="16">
        <f t="shared" si="11"/>
        <v>0.16806722689075632</v>
      </c>
      <c r="AJ30" s="18">
        <f t="shared" si="12"/>
        <v>6.4876609442060085</v>
      </c>
      <c r="AK30" s="18">
        <f t="shared" si="13"/>
        <v>5.0936329588014981</v>
      </c>
      <c r="AL30" s="15">
        <f t="shared" si="14"/>
        <v>0.61494252873563215</v>
      </c>
    </row>
    <row r="31" spans="1:38" x14ac:dyDescent="0.35">
      <c r="A31" s="1" t="s">
        <v>17</v>
      </c>
      <c r="B31" s="6" t="s">
        <v>36</v>
      </c>
      <c r="C31" s="1">
        <v>10</v>
      </c>
      <c r="D31" s="1" t="s">
        <v>49</v>
      </c>
      <c r="E31" s="2">
        <v>79</v>
      </c>
      <c r="F31" s="2">
        <v>79</v>
      </c>
      <c r="G31" s="2">
        <f t="shared" si="0"/>
        <v>0</v>
      </c>
      <c r="H31" s="3">
        <f>E31*K31</f>
        <v>12245</v>
      </c>
      <c r="I31" s="3">
        <f>F31*L31</f>
        <v>11060</v>
      </c>
      <c r="J31" s="19">
        <f t="shared" si="1"/>
        <v>0.10714285714285714</v>
      </c>
      <c r="K31" s="4">
        <v>155</v>
      </c>
      <c r="L31" s="4">
        <v>140</v>
      </c>
      <c r="M31" s="19">
        <f t="shared" si="2"/>
        <v>0.10714285714285714</v>
      </c>
      <c r="N31" s="3">
        <f>E31*Q31</f>
        <v>5609</v>
      </c>
      <c r="O31" s="3">
        <f>F31*R31</f>
        <v>5293</v>
      </c>
      <c r="P31" s="19">
        <f t="shared" si="3"/>
        <v>5.9701492537313432E-2</v>
      </c>
      <c r="Q31" s="1">
        <v>71</v>
      </c>
      <c r="R31" s="1">
        <v>67</v>
      </c>
      <c r="S31" s="19">
        <f t="shared" si="4"/>
        <v>5.9701492537313432E-2</v>
      </c>
      <c r="T31" s="1">
        <v>6184</v>
      </c>
      <c r="U31" s="1">
        <v>6320</v>
      </c>
      <c r="V31" s="19">
        <f t="shared" si="5"/>
        <v>-2.1518987341772152E-2</v>
      </c>
      <c r="W31" s="1">
        <v>61</v>
      </c>
      <c r="X31" s="4">
        <v>57.42</v>
      </c>
      <c r="Y31" s="19">
        <f t="shared" si="6"/>
        <v>6.2347614071751968E-2</v>
      </c>
      <c r="Z31" s="5">
        <v>2.0999999999999996</v>
      </c>
      <c r="AA31" s="17">
        <f>X31/U31</f>
        <v>9.0854430379746845E-3</v>
      </c>
      <c r="AB31" s="17">
        <f>W31/T31</f>
        <v>9.8641655886157822E-3</v>
      </c>
      <c r="AC31" s="17">
        <f t="shared" si="7"/>
        <v>8.5711015674882221E-2</v>
      </c>
      <c r="AD31" s="18">
        <f>O31/X31</f>
        <v>92.180424939045622</v>
      </c>
      <c r="AE31" s="18">
        <f>N31/W31</f>
        <v>91.950819672131146</v>
      </c>
      <c r="AF31" s="16">
        <f t="shared" si="8"/>
        <v>-2.4908245656960503E-3</v>
      </c>
      <c r="AG31">
        <f t="shared" si="9"/>
        <v>79</v>
      </c>
      <c r="AH31">
        <f t="shared" si="10"/>
        <v>79</v>
      </c>
      <c r="AI31" s="16">
        <f t="shared" si="11"/>
        <v>0</v>
      </c>
      <c r="AJ31" s="18">
        <f t="shared" si="12"/>
        <v>2.8871280724450195</v>
      </c>
      <c r="AK31" s="18">
        <f t="shared" si="13"/>
        <v>2.5874999999999999</v>
      </c>
      <c r="AL31" s="15">
        <f t="shared" si="14"/>
        <v>0.68584070796460173</v>
      </c>
    </row>
    <row r="32" spans="1:38" x14ac:dyDescent="0.35">
      <c r="A32" s="1" t="s">
        <v>17</v>
      </c>
      <c r="B32" s="6" t="s">
        <v>37</v>
      </c>
      <c r="C32" s="1">
        <v>11</v>
      </c>
      <c r="D32" s="1" t="s">
        <v>49</v>
      </c>
      <c r="E32" s="2">
        <v>149</v>
      </c>
      <c r="F32" s="2">
        <v>149</v>
      </c>
      <c r="G32" s="2">
        <f t="shared" si="0"/>
        <v>0</v>
      </c>
      <c r="H32" s="3">
        <f>E32*K32</f>
        <v>17135</v>
      </c>
      <c r="I32" s="3">
        <f>F32*L32</f>
        <v>16241</v>
      </c>
      <c r="J32" s="19">
        <f t="shared" si="1"/>
        <v>5.5045871559633031E-2</v>
      </c>
      <c r="K32" s="4">
        <v>115</v>
      </c>
      <c r="L32" s="4">
        <v>109</v>
      </c>
      <c r="M32" s="19">
        <f t="shared" si="2"/>
        <v>5.5045871559633031E-2</v>
      </c>
      <c r="N32" s="3">
        <f>E32*Q32</f>
        <v>3427</v>
      </c>
      <c r="O32" s="3">
        <f>F32*R32</f>
        <v>3129</v>
      </c>
      <c r="P32" s="19">
        <f t="shared" si="3"/>
        <v>9.5238095238095233E-2</v>
      </c>
      <c r="Q32" s="1">
        <v>23</v>
      </c>
      <c r="R32" s="1">
        <v>21</v>
      </c>
      <c r="S32" s="19">
        <f t="shared" si="4"/>
        <v>9.5238095238095233E-2</v>
      </c>
      <c r="T32" s="1">
        <v>4731</v>
      </c>
      <c r="U32" s="1">
        <v>3712</v>
      </c>
      <c r="V32" s="19">
        <f t="shared" si="5"/>
        <v>0.27451508620689657</v>
      </c>
      <c r="W32" s="1">
        <v>30</v>
      </c>
      <c r="X32" s="4">
        <v>28.700000000000003</v>
      </c>
      <c r="Y32" s="19">
        <f t="shared" si="6"/>
        <v>4.5296167247386658E-2</v>
      </c>
      <c r="Z32" s="5">
        <v>1</v>
      </c>
      <c r="AA32" s="17">
        <f>X32/U32</f>
        <v>7.7316810344827593E-3</v>
      </c>
      <c r="AB32" s="17">
        <f>W32/T32</f>
        <v>6.3411540900443885E-3</v>
      </c>
      <c r="AC32" s="17">
        <f t="shared" si="7"/>
        <v>-0.17984794486952027</v>
      </c>
      <c r="AD32" s="18">
        <f>O32/X32</f>
        <v>109.02439024390243</v>
      </c>
      <c r="AE32" s="18">
        <f>N32/W32</f>
        <v>114.23333333333333</v>
      </c>
      <c r="AF32" s="16">
        <f t="shared" si="8"/>
        <v>4.7777777777777863E-2</v>
      </c>
      <c r="AG32">
        <f t="shared" si="9"/>
        <v>149</v>
      </c>
      <c r="AH32">
        <f t="shared" si="10"/>
        <v>149</v>
      </c>
      <c r="AI32" s="16">
        <f t="shared" si="11"/>
        <v>0</v>
      </c>
      <c r="AJ32" s="18">
        <f t="shared" si="12"/>
        <v>4.3462270133164234</v>
      </c>
      <c r="AK32" s="18">
        <f t="shared" si="13"/>
        <v>5.2182112068965516</v>
      </c>
      <c r="AL32" s="15">
        <f t="shared" si="14"/>
        <v>0.83333333333333337</v>
      </c>
    </row>
    <row r="33" spans="1:38" x14ac:dyDescent="0.35">
      <c r="A33" s="1" t="s">
        <v>17</v>
      </c>
      <c r="B33" s="6" t="s">
        <v>38</v>
      </c>
      <c r="C33" s="1">
        <v>12</v>
      </c>
      <c r="D33" s="1" t="s">
        <v>50</v>
      </c>
      <c r="E33" s="2">
        <v>779</v>
      </c>
      <c r="F33" s="2">
        <v>649.20000000000005</v>
      </c>
      <c r="G33" s="2">
        <f t="shared" si="0"/>
        <v>129.79999999999995</v>
      </c>
      <c r="H33" s="3">
        <f>E33*K33</f>
        <v>86469</v>
      </c>
      <c r="I33" s="3">
        <f>F33*L33</f>
        <v>67516.800000000003</v>
      </c>
      <c r="J33" s="19">
        <f t="shared" si="1"/>
        <v>0.2807034693587373</v>
      </c>
      <c r="K33" s="4">
        <v>111</v>
      </c>
      <c r="L33" s="4">
        <v>104</v>
      </c>
      <c r="M33" s="19">
        <f t="shared" si="2"/>
        <v>6.7307692307692304E-2</v>
      </c>
      <c r="N33" s="3">
        <f>E33*Q33</f>
        <v>51414</v>
      </c>
      <c r="O33" s="3">
        <f>F33*R33</f>
        <v>38952</v>
      </c>
      <c r="P33" s="19">
        <f t="shared" si="3"/>
        <v>0.31993222427603202</v>
      </c>
      <c r="Q33" s="1">
        <v>66</v>
      </c>
      <c r="R33" s="1">
        <v>60</v>
      </c>
      <c r="S33" s="19">
        <f t="shared" si="4"/>
        <v>0.1</v>
      </c>
      <c r="T33" s="1">
        <v>10492</v>
      </c>
      <c r="U33" s="1">
        <v>11156</v>
      </c>
      <c r="V33" s="19">
        <f t="shared" si="5"/>
        <v>-5.951954105414127E-2</v>
      </c>
      <c r="W33" s="1">
        <v>56</v>
      </c>
      <c r="X33" s="1">
        <v>55</v>
      </c>
      <c r="Y33" s="19">
        <f t="shared" si="6"/>
        <v>1.8181818181818181E-2</v>
      </c>
      <c r="Z33" s="1">
        <v>4.9000000000000004</v>
      </c>
      <c r="AA33" s="17">
        <f>X33/U33</f>
        <v>4.9300824668339904E-3</v>
      </c>
      <c r="AB33" s="17">
        <f>W33/T33</f>
        <v>5.33739992375143E-3</v>
      </c>
      <c r="AC33" s="17">
        <f t="shared" si="7"/>
        <v>8.2618791806744654E-2</v>
      </c>
      <c r="AD33" s="18">
        <f>O33/X33</f>
        <v>708.21818181818185</v>
      </c>
      <c r="AE33" s="18">
        <f>N33/W33</f>
        <v>918.10714285714289</v>
      </c>
      <c r="AF33" s="16">
        <f t="shared" si="8"/>
        <v>0.29636200598538859</v>
      </c>
      <c r="AG33">
        <f t="shared" si="9"/>
        <v>649.20000000000005</v>
      </c>
      <c r="AH33">
        <f t="shared" si="10"/>
        <v>779</v>
      </c>
      <c r="AI33" s="16">
        <f t="shared" si="11"/>
        <v>0.19993838570548358</v>
      </c>
      <c r="AJ33" s="18">
        <f t="shared" si="12"/>
        <v>13.141727030118185</v>
      </c>
      <c r="AK33" s="18">
        <f t="shared" si="13"/>
        <v>9.5436357117246331</v>
      </c>
      <c r="AL33" s="15">
        <f t="shared" si="14"/>
        <v>0.6271186440677966</v>
      </c>
    </row>
    <row r="34" spans="1:38" x14ac:dyDescent="0.35">
      <c r="A34" s="1" t="s">
        <v>17</v>
      </c>
      <c r="B34" s="6" t="s">
        <v>39</v>
      </c>
      <c r="C34" s="1">
        <v>13</v>
      </c>
      <c r="D34" s="1" t="s">
        <v>50</v>
      </c>
      <c r="E34" s="2">
        <v>136</v>
      </c>
      <c r="F34" s="2">
        <v>136</v>
      </c>
      <c r="G34" s="2">
        <f t="shared" si="0"/>
        <v>0</v>
      </c>
      <c r="H34" s="3">
        <f>E34*K34</f>
        <v>27472</v>
      </c>
      <c r="I34" s="3">
        <f>F34*L34</f>
        <v>25976</v>
      </c>
      <c r="J34" s="19">
        <f t="shared" si="1"/>
        <v>5.7591623036649213E-2</v>
      </c>
      <c r="K34" s="4">
        <v>202</v>
      </c>
      <c r="L34" s="4">
        <v>191</v>
      </c>
      <c r="M34" s="19">
        <f t="shared" si="2"/>
        <v>5.7591623036649213E-2</v>
      </c>
      <c r="N34" s="3">
        <f>E34*Q34</f>
        <v>4624</v>
      </c>
      <c r="O34" s="3">
        <f>F34*R34</f>
        <v>4624</v>
      </c>
      <c r="P34" s="19">
        <f t="shared" si="3"/>
        <v>0</v>
      </c>
      <c r="Q34" s="1">
        <v>34</v>
      </c>
      <c r="R34" s="1">
        <v>34</v>
      </c>
      <c r="S34" s="19">
        <f t="shared" si="4"/>
        <v>0</v>
      </c>
      <c r="T34" s="1">
        <v>7508</v>
      </c>
      <c r="U34" s="1">
        <v>7484</v>
      </c>
      <c r="V34" s="19">
        <f t="shared" si="5"/>
        <v>3.206841261357563E-3</v>
      </c>
      <c r="W34" s="1">
        <v>31</v>
      </c>
      <c r="X34" s="1">
        <v>29</v>
      </c>
      <c r="Y34" s="19">
        <f t="shared" si="6"/>
        <v>6.8965517241379309E-2</v>
      </c>
      <c r="Z34" s="5">
        <v>1</v>
      </c>
      <c r="AA34" s="17">
        <f>X34/U34</f>
        <v>3.8749331908070552E-3</v>
      </c>
      <c r="AB34" s="17">
        <f>W34/T34</f>
        <v>4.1289291422482687E-3</v>
      </c>
      <c r="AC34" s="17">
        <f t="shared" si="7"/>
        <v>6.5548472434001442E-2</v>
      </c>
      <c r="AD34" s="18">
        <f>O34/X34</f>
        <v>159.44827586206895</v>
      </c>
      <c r="AE34" s="18">
        <f>N34/W34</f>
        <v>149.16129032258064</v>
      </c>
      <c r="AF34" s="16">
        <f t="shared" si="8"/>
        <v>-6.4516129032258021E-2</v>
      </c>
      <c r="AG34">
        <f t="shared" si="9"/>
        <v>136</v>
      </c>
      <c r="AH34">
        <f t="shared" si="10"/>
        <v>136</v>
      </c>
      <c r="AI34" s="16">
        <f t="shared" si="11"/>
        <v>0</v>
      </c>
      <c r="AJ34" s="18">
        <f t="shared" si="12"/>
        <v>4.2749067661161426</v>
      </c>
      <c r="AK34" s="18">
        <f t="shared" si="13"/>
        <v>4.088722608230893</v>
      </c>
      <c r="AL34" s="15">
        <f t="shared" si="14"/>
        <v>0.85593220338983056</v>
      </c>
    </row>
    <row r="35" spans="1:38" x14ac:dyDescent="0.35">
      <c r="A35" s="1" t="s">
        <v>17</v>
      </c>
      <c r="B35" s="6" t="s">
        <v>40</v>
      </c>
      <c r="C35" s="1">
        <v>14</v>
      </c>
      <c r="D35" s="1" t="s">
        <v>50</v>
      </c>
      <c r="E35" s="2">
        <v>249</v>
      </c>
      <c r="F35" s="2">
        <v>249</v>
      </c>
      <c r="G35" s="2">
        <f t="shared" si="0"/>
        <v>0</v>
      </c>
      <c r="H35" s="3">
        <f>E35*K35</f>
        <v>25149</v>
      </c>
      <c r="I35" s="3">
        <f>F35*L35</f>
        <v>24153</v>
      </c>
      <c r="J35" s="19">
        <f t="shared" si="1"/>
        <v>4.1237113402061855E-2</v>
      </c>
      <c r="K35" s="4">
        <v>101</v>
      </c>
      <c r="L35" s="4">
        <v>97</v>
      </c>
      <c r="M35" s="19">
        <f t="shared" si="2"/>
        <v>4.1237113402061855E-2</v>
      </c>
      <c r="N35" s="3">
        <f>E35*Q35</f>
        <v>24402</v>
      </c>
      <c r="O35" s="3">
        <f>F35*R35</f>
        <v>24900</v>
      </c>
      <c r="P35" s="19">
        <f t="shared" si="3"/>
        <v>-0.02</v>
      </c>
      <c r="Q35" s="1">
        <v>98</v>
      </c>
      <c r="R35" s="1">
        <v>100</v>
      </c>
      <c r="S35" s="19">
        <f t="shared" si="4"/>
        <v>-0.02</v>
      </c>
      <c r="T35" s="1">
        <v>13503</v>
      </c>
      <c r="U35" s="1">
        <v>13973</v>
      </c>
      <c r="V35" s="19">
        <f t="shared" si="5"/>
        <v>-3.3636298575824806E-2</v>
      </c>
      <c r="W35" s="1">
        <v>88</v>
      </c>
      <c r="X35" s="4">
        <v>78</v>
      </c>
      <c r="Y35" s="19">
        <f t="shared" si="6"/>
        <v>0.12820512820512819</v>
      </c>
      <c r="Z35" s="1">
        <v>4.4000000000000004</v>
      </c>
      <c r="AA35" s="17">
        <f>X35/U35</f>
        <v>5.5821942317326274E-3</v>
      </c>
      <c r="AB35" s="17">
        <f>W35/T35</f>
        <v>6.5170702806783675E-3</v>
      </c>
      <c r="AC35" s="17">
        <f t="shared" si="7"/>
        <v>0.16747465425536956</v>
      </c>
      <c r="AD35" s="18">
        <f>O35/X35</f>
        <v>319.23076923076923</v>
      </c>
      <c r="AE35" s="18">
        <f>N35/W35</f>
        <v>277.29545454545456</v>
      </c>
      <c r="AF35" s="16">
        <f t="shared" si="8"/>
        <v>-0.13136363636363629</v>
      </c>
      <c r="AG35">
        <f t="shared" si="9"/>
        <v>249</v>
      </c>
      <c r="AH35">
        <f t="shared" si="10"/>
        <v>249</v>
      </c>
      <c r="AI35" s="16">
        <f t="shared" si="11"/>
        <v>0</v>
      </c>
      <c r="AJ35" s="18">
        <f t="shared" si="12"/>
        <v>3.6696289713397023</v>
      </c>
      <c r="AK35" s="18">
        <f t="shared" si="13"/>
        <v>3.5105560724253917</v>
      </c>
      <c r="AL35" s="15">
        <f t="shared" si="14"/>
        <v>0.50753768844221103</v>
      </c>
    </row>
    <row r="36" spans="1:38" x14ac:dyDescent="0.35">
      <c r="A36" s="1" t="s">
        <v>17</v>
      </c>
      <c r="B36" s="6" t="s">
        <v>41</v>
      </c>
      <c r="C36" s="1">
        <v>15</v>
      </c>
      <c r="D36" s="1" t="s">
        <v>50</v>
      </c>
      <c r="E36" s="2">
        <v>155</v>
      </c>
      <c r="F36" s="2">
        <v>155</v>
      </c>
      <c r="G36" s="2">
        <f t="shared" si="0"/>
        <v>0</v>
      </c>
      <c r="H36" s="3">
        <f>E36*K36</f>
        <v>23405</v>
      </c>
      <c r="I36" s="3">
        <f>F36*L36</f>
        <v>20925</v>
      </c>
      <c r="J36" s="19">
        <f t="shared" si="1"/>
        <v>0.11851851851851852</v>
      </c>
      <c r="K36" s="4">
        <v>151</v>
      </c>
      <c r="L36" s="4">
        <v>135</v>
      </c>
      <c r="M36" s="19">
        <f t="shared" si="2"/>
        <v>0.11851851851851852</v>
      </c>
      <c r="N36" s="3">
        <f>E36*Q36</f>
        <v>11625</v>
      </c>
      <c r="O36" s="3">
        <f>F36*R36</f>
        <v>10540</v>
      </c>
      <c r="P36" s="19">
        <f t="shared" si="3"/>
        <v>0.10294117647058823</v>
      </c>
      <c r="Q36" s="1">
        <v>75</v>
      </c>
      <c r="R36" s="1">
        <v>68</v>
      </c>
      <c r="S36" s="19">
        <f t="shared" si="4"/>
        <v>0.10294117647058823</v>
      </c>
      <c r="T36" s="1">
        <v>10613</v>
      </c>
      <c r="U36" s="1">
        <v>10021</v>
      </c>
      <c r="V36" s="19">
        <f t="shared" si="5"/>
        <v>5.9075940524897716E-2</v>
      </c>
      <c r="W36" s="1">
        <v>65</v>
      </c>
      <c r="X36" s="1">
        <v>63</v>
      </c>
      <c r="Y36" s="19">
        <f t="shared" si="6"/>
        <v>3.1746031746031744E-2</v>
      </c>
      <c r="Z36" s="5">
        <v>3.5999999999999996</v>
      </c>
      <c r="AA36" s="17">
        <f>X36/U36</f>
        <v>6.2867977247779662E-3</v>
      </c>
      <c r="AB36" s="17">
        <f>W36/T36</f>
        <v>6.124564213700179E-3</v>
      </c>
      <c r="AC36" s="17">
        <f t="shared" si="7"/>
        <v>-2.5805428801754057E-2</v>
      </c>
      <c r="AD36" s="18">
        <f>O36/X36</f>
        <v>167.30158730158729</v>
      </c>
      <c r="AE36" s="18">
        <f>N36/W36</f>
        <v>178.84615384615384</v>
      </c>
      <c r="AF36" s="16">
        <f t="shared" si="8"/>
        <v>6.900452488687786E-2</v>
      </c>
      <c r="AG36">
        <f t="shared" si="9"/>
        <v>155</v>
      </c>
      <c r="AH36">
        <f t="shared" si="10"/>
        <v>155</v>
      </c>
      <c r="AI36" s="16">
        <f t="shared" si="11"/>
        <v>0</v>
      </c>
      <c r="AJ36" s="18">
        <f t="shared" si="12"/>
        <v>3.3006689908602658</v>
      </c>
      <c r="AK36" s="18">
        <f t="shared" si="13"/>
        <v>3.1399061969863289</v>
      </c>
      <c r="AL36" s="15">
        <f t="shared" si="14"/>
        <v>0.66814159292035402</v>
      </c>
    </row>
    <row r="37" spans="1:38" x14ac:dyDescent="0.35">
      <c r="A37" s="1" t="s">
        <v>17</v>
      </c>
      <c r="B37" s="6" t="s">
        <v>42</v>
      </c>
      <c r="C37" s="1">
        <v>16</v>
      </c>
      <c r="D37" s="1" t="s">
        <v>50</v>
      </c>
      <c r="E37" s="2">
        <v>627</v>
      </c>
      <c r="F37" s="2">
        <v>627</v>
      </c>
      <c r="G37" s="2">
        <f t="shared" si="0"/>
        <v>0</v>
      </c>
      <c r="H37" s="3">
        <f>E37*K37</f>
        <v>101574</v>
      </c>
      <c r="I37" s="3">
        <f>F37*L37</f>
        <v>89661</v>
      </c>
      <c r="J37" s="19">
        <f t="shared" si="1"/>
        <v>0.13286713286713286</v>
      </c>
      <c r="K37" s="4">
        <v>162</v>
      </c>
      <c r="L37" s="4">
        <v>143</v>
      </c>
      <c r="M37" s="19">
        <f t="shared" si="2"/>
        <v>0.13286713286713286</v>
      </c>
      <c r="N37" s="3">
        <f>E37*Q37</f>
        <v>12540</v>
      </c>
      <c r="O37" s="3">
        <f>F37*R37</f>
        <v>11286</v>
      </c>
      <c r="P37" s="19">
        <f t="shared" si="3"/>
        <v>0.1111111111111111</v>
      </c>
      <c r="Q37" s="1">
        <v>20</v>
      </c>
      <c r="R37" s="1">
        <v>18</v>
      </c>
      <c r="S37" s="19">
        <f t="shared" si="4"/>
        <v>0.1111111111111111</v>
      </c>
      <c r="T37" s="1">
        <v>10433</v>
      </c>
      <c r="U37" s="1">
        <v>10933</v>
      </c>
      <c r="V37" s="19">
        <f t="shared" si="5"/>
        <v>-4.5733101618951798E-2</v>
      </c>
      <c r="W37" s="1">
        <v>24</v>
      </c>
      <c r="X37" s="4">
        <v>25.46</v>
      </c>
      <c r="Y37" s="19">
        <f t="shared" si="6"/>
        <v>-5.7344854673998462E-2</v>
      </c>
      <c r="Z37" s="1">
        <v>3.9</v>
      </c>
      <c r="AA37" s="17">
        <f>X37/U37</f>
        <v>2.3287295344370258E-3</v>
      </c>
      <c r="AB37" s="17">
        <f>W37/T37</f>
        <v>2.3003929838013993E-3</v>
      </c>
      <c r="AC37" s="17">
        <f t="shared" si="7"/>
        <v>-1.2168244622910582E-2</v>
      </c>
      <c r="AD37" s="18">
        <f>O37/X37</f>
        <v>443.28358208955223</v>
      </c>
      <c r="AE37" s="18">
        <f>N37/W37</f>
        <v>522.5</v>
      </c>
      <c r="AF37" s="16">
        <f t="shared" si="8"/>
        <v>0.17870370370370373</v>
      </c>
      <c r="AG37">
        <f t="shared" si="9"/>
        <v>627</v>
      </c>
      <c r="AH37">
        <f t="shared" si="10"/>
        <v>627</v>
      </c>
      <c r="AI37" s="16">
        <f t="shared" si="11"/>
        <v>0</v>
      </c>
      <c r="AJ37" s="18">
        <f t="shared" si="12"/>
        <v>10.937793539729704</v>
      </c>
      <c r="AK37" s="18">
        <f t="shared" si="13"/>
        <v>9.2332388182566536</v>
      </c>
      <c r="AL37" s="15">
        <f t="shared" si="14"/>
        <v>0.89010989010989006</v>
      </c>
    </row>
    <row r="38" spans="1:38" x14ac:dyDescent="0.35">
      <c r="A38" s="1" t="s">
        <v>17</v>
      </c>
      <c r="B38" s="6" t="s">
        <v>43</v>
      </c>
      <c r="C38" s="1">
        <v>17</v>
      </c>
      <c r="D38" s="1" t="s">
        <v>50</v>
      </c>
      <c r="E38" s="2">
        <v>179</v>
      </c>
      <c r="F38" s="2">
        <v>169</v>
      </c>
      <c r="G38" s="2">
        <f t="shared" si="0"/>
        <v>10</v>
      </c>
      <c r="H38" s="3">
        <f>E38*K38</f>
        <v>15752</v>
      </c>
      <c r="I38" s="3">
        <f>F38*L38</f>
        <v>14703</v>
      </c>
      <c r="J38" s="19">
        <f t="shared" si="1"/>
        <v>7.1345983812827321E-2</v>
      </c>
      <c r="K38" s="4">
        <v>88</v>
      </c>
      <c r="L38" s="4">
        <v>87</v>
      </c>
      <c r="M38" s="19">
        <f t="shared" si="2"/>
        <v>1.1494252873563218E-2</v>
      </c>
      <c r="N38" s="3">
        <f>E38*Q38</f>
        <v>11098</v>
      </c>
      <c r="O38" s="3">
        <f>F38*R38</f>
        <v>9464</v>
      </c>
      <c r="P38" s="19">
        <f t="shared" si="3"/>
        <v>0.17265426880811496</v>
      </c>
      <c r="Q38" s="1">
        <v>62</v>
      </c>
      <c r="R38" s="1">
        <v>56</v>
      </c>
      <c r="S38" s="19">
        <f t="shared" si="4"/>
        <v>0.10714285714285714</v>
      </c>
      <c r="T38" s="1">
        <v>9307</v>
      </c>
      <c r="U38" s="1">
        <v>8869</v>
      </c>
      <c r="V38" s="19">
        <f t="shared" si="5"/>
        <v>4.9385500056376139E-2</v>
      </c>
      <c r="W38" s="1">
        <v>52</v>
      </c>
      <c r="X38" s="1">
        <v>51</v>
      </c>
      <c r="Y38" s="19">
        <f t="shared" si="6"/>
        <v>1.9607843137254902E-2</v>
      </c>
      <c r="Z38" s="1">
        <v>4.8</v>
      </c>
      <c r="AA38" s="17">
        <f>X38/U38</f>
        <v>5.75036644492051E-3</v>
      </c>
      <c r="AB38" s="17">
        <f>W38/T38</f>
        <v>5.5871924358010102E-3</v>
      </c>
      <c r="AC38" s="17">
        <f t="shared" si="7"/>
        <v>-2.837628013491849E-2</v>
      </c>
      <c r="AD38" s="18">
        <f>O38/X38</f>
        <v>185.56862745098039</v>
      </c>
      <c r="AE38" s="18">
        <f>N38/W38</f>
        <v>213.42307692307693</v>
      </c>
      <c r="AF38" s="16">
        <f t="shared" si="8"/>
        <v>0.15010322517718977</v>
      </c>
      <c r="AG38">
        <f t="shared" si="9"/>
        <v>169</v>
      </c>
      <c r="AH38">
        <f t="shared" si="10"/>
        <v>179</v>
      </c>
      <c r="AI38" s="16">
        <f t="shared" si="11"/>
        <v>5.9171597633136092E-2</v>
      </c>
      <c r="AJ38" s="18">
        <f t="shared" si="12"/>
        <v>2.8849253250241755</v>
      </c>
      <c r="AK38" s="18">
        <f t="shared" si="13"/>
        <v>2.7248844289096854</v>
      </c>
      <c r="AL38" s="15">
        <f t="shared" si="14"/>
        <v>0.58666666666666667</v>
      </c>
    </row>
    <row r="39" spans="1:38" x14ac:dyDescent="0.35">
      <c r="A39" s="1" t="s">
        <v>17</v>
      </c>
      <c r="B39" s="6" t="s">
        <v>44</v>
      </c>
      <c r="C39" s="1">
        <v>18</v>
      </c>
      <c r="D39" s="1" t="s">
        <v>50</v>
      </c>
      <c r="E39" s="2">
        <v>475</v>
      </c>
      <c r="F39" s="2">
        <v>475</v>
      </c>
      <c r="G39" s="2">
        <f t="shared" si="0"/>
        <v>0</v>
      </c>
      <c r="H39" s="3">
        <f>E39*K39</f>
        <v>91675</v>
      </c>
      <c r="I39" s="3">
        <f>F39*L39</f>
        <v>91200</v>
      </c>
      <c r="J39" s="19">
        <f t="shared" si="1"/>
        <v>5.208333333333333E-3</v>
      </c>
      <c r="K39" s="4">
        <v>193</v>
      </c>
      <c r="L39" s="4">
        <v>192</v>
      </c>
      <c r="M39" s="19">
        <f t="shared" si="2"/>
        <v>5.208333333333333E-3</v>
      </c>
      <c r="N39" s="3">
        <f>E39*Q39</f>
        <v>10450</v>
      </c>
      <c r="O39" s="3">
        <f>F39*R39</f>
        <v>10450</v>
      </c>
      <c r="P39" s="19">
        <f t="shared" si="3"/>
        <v>0</v>
      </c>
      <c r="Q39" s="1">
        <v>22</v>
      </c>
      <c r="R39" s="1">
        <v>22</v>
      </c>
      <c r="S39" s="19">
        <f t="shared" si="4"/>
        <v>0</v>
      </c>
      <c r="T39" s="1">
        <v>8861</v>
      </c>
      <c r="U39" s="1">
        <v>7629</v>
      </c>
      <c r="V39" s="19">
        <f t="shared" si="5"/>
        <v>0.16148905492200813</v>
      </c>
      <c r="W39" s="1">
        <v>44</v>
      </c>
      <c r="X39" s="4">
        <v>29.4</v>
      </c>
      <c r="Y39" s="19">
        <f t="shared" si="6"/>
        <v>0.49659863945578236</v>
      </c>
      <c r="Z39" s="1">
        <v>4.0999999999999996</v>
      </c>
      <c r="AA39" s="17">
        <f>X39/U39</f>
        <v>3.8537160833661027E-3</v>
      </c>
      <c r="AB39" s="17">
        <f>W39/T39</f>
        <v>4.9655795056991314E-3</v>
      </c>
      <c r="AC39" s="17">
        <f t="shared" si="7"/>
        <v>0.28851721255029511</v>
      </c>
      <c r="AD39" s="18">
        <f>O39/X39</f>
        <v>355.44217687074831</v>
      </c>
      <c r="AE39" s="18">
        <f>N39/W39</f>
        <v>237.5</v>
      </c>
      <c r="AF39" s="16">
        <f t="shared" si="8"/>
        <v>-0.33181818181818185</v>
      </c>
      <c r="AG39">
        <f t="shared" si="9"/>
        <v>475</v>
      </c>
      <c r="AH39">
        <f t="shared" si="10"/>
        <v>475</v>
      </c>
      <c r="AI39" s="16">
        <f t="shared" si="11"/>
        <v>0</v>
      </c>
      <c r="AJ39" s="18">
        <f t="shared" si="12"/>
        <v>11.525222886807358</v>
      </c>
      <c r="AK39" s="18">
        <f t="shared" si="13"/>
        <v>13.324157818849129</v>
      </c>
      <c r="AL39" s="15">
        <f t="shared" si="14"/>
        <v>0.89767441860465114</v>
      </c>
    </row>
    <row r="40" spans="1:38" x14ac:dyDescent="0.35">
      <c r="A40" s="1" t="s">
        <v>17</v>
      </c>
      <c r="B40" s="6" t="s">
        <v>45</v>
      </c>
      <c r="C40" s="1">
        <v>19</v>
      </c>
      <c r="D40" s="1" t="s">
        <v>50</v>
      </c>
      <c r="E40" s="2">
        <v>180</v>
      </c>
      <c r="F40" s="2">
        <v>160</v>
      </c>
      <c r="G40" s="2">
        <f t="shared" si="0"/>
        <v>20</v>
      </c>
      <c r="H40" s="3">
        <f>E40*K40</f>
        <v>27000</v>
      </c>
      <c r="I40" s="3">
        <f>F40*L40</f>
        <v>21440</v>
      </c>
      <c r="J40" s="19">
        <f t="shared" si="1"/>
        <v>0.25932835820895522</v>
      </c>
      <c r="K40" s="4">
        <v>150</v>
      </c>
      <c r="L40" s="4">
        <v>134</v>
      </c>
      <c r="M40" s="19">
        <f t="shared" si="2"/>
        <v>0.11940298507462686</v>
      </c>
      <c r="N40" s="3">
        <f>E40*Q40</f>
        <v>19800</v>
      </c>
      <c r="O40" s="3">
        <f>F40*R40</f>
        <v>16320</v>
      </c>
      <c r="P40" s="19">
        <f t="shared" si="3"/>
        <v>0.21323529411764705</v>
      </c>
      <c r="Q40" s="1">
        <v>110</v>
      </c>
      <c r="R40" s="1">
        <v>102</v>
      </c>
      <c r="S40" s="19">
        <f t="shared" si="4"/>
        <v>7.8431372549019607E-2</v>
      </c>
      <c r="T40" s="1">
        <v>3833</v>
      </c>
      <c r="U40" s="1">
        <v>3746</v>
      </c>
      <c r="V40" s="19">
        <f t="shared" si="5"/>
        <v>2.3224773091297383E-2</v>
      </c>
      <c r="W40" s="1">
        <v>100</v>
      </c>
      <c r="X40" s="4">
        <v>85.4</v>
      </c>
      <c r="Y40" s="19">
        <f t="shared" si="6"/>
        <v>0.17096018735362989</v>
      </c>
      <c r="Z40" s="1">
        <v>4.4000000000000004</v>
      </c>
      <c r="AA40" s="17">
        <f>X40/U40</f>
        <v>2.2797650827549386E-2</v>
      </c>
      <c r="AB40" s="17">
        <f>W40/T40</f>
        <v>2.6089225150013044E-2</v>
      </c>
      <c r="AC40" s="17">
        <f t="shared" si="7"/>
        <v>0.14438217110010379</v>
      </c>
      <c r="AD40" s="18">
        <f>O40/X40</f>
        <v>191.10070257611241</v>
      </c>
      <c r="AE40" s="18">
        <f>N40/W40</f>
        <v>198</v>
      </c>
      <c r="AF40" s="16">
        <f t="shared" si="8"/>
        <v>3.6102941176470595E-2</v>
      </c>
      <c r="AG40">
        <f t="shared" si="9"/>
        <v>160</v>
      </c>
      <c r="AH40">
        <f t="shared" si="10"/>
        <v>180</v>
      </c>
      <c r="AI40" s="16">
        <f t="shared" si="11"/>
        <v>0.125</v>
      </c>
      <c r="AJ40" s="18">
        <f t="shared" si="12"/>
        <v>12.209757370206106</v>
      </c>
      <c r="AK40" s="18">
        <f t="shared" si="13"/>
        <v>10.080085424452749</v>
      </c>
      <c r="AL40" s="15">
        <f t="shared" si="14"/>
        <v>0.57692307692307687</v>
      </c>
    </row>
    <row r="41" spans="1:38" x14ac:dyDescent="0.35">
      <c r="A41" s="1" t="s">
        <v>17</v>
      </c>
      <c r="B41" s="6" t="s">
        <v>46</v>
      </c>
      <c r="C41" s="1">
        <v>20</v>
      </c>
      <c r="D41" s="1" t="s">
        <v>50</v>
      </c>
      <c r="E41" s="2">
        <v>475</v>
      </c>
      <c r="F41" s="2">
        <v>475</v>
      </c>
      <c r="G41" s="2">
        <f t="shared" si="0"/>
        <v>0</v>
      </c>
      <c r="H41" s="3">
        <f>E41*K41</f>
        <v>90725</v>
      </c>
      <c r="I41" s="3">
        <f>F41*L41</f>
        <v>79800</v>
      </c>
      <c r="J41" s="19">
        <f t="shared" si="1"/>
        <v>0.13690476190476192</v>
      </c>
      <c r="K41" s="4">
        <v>191</v>
      </c>
      <c r="L41" s="4">
        <v>168</v>
      </c>
      <c r="M41" s="19">
        <f t="shared" si="2"/>
        <v>0.13690476190476192</v>
      </c>
      <c r="N41" s="3">
        <f>E41*Q41</f>
        <v>18050</v>
      </c>
      <c r="O41" s="3">
        <f>F41*R41</f>
        <v>15675</v>
      </c>
      <c r="P41" s="19">
        <f t="shared" si="3"/>
        <v>0.15151515151515152</v>
      </c>
      <c r="Q41" s="1">
        <v>38</v>
      </c>
      <c r="R41" s="1">
        <v>33</v>
      </c>
      <c r="S41" s="19">
        <f t="shared" si="4"/>
        <v>0.15151515151515152</v>
      </c>
      <c r="T41" s="1">
        <v>3519</v>
      </c>
      <c r="U41" s="1">
        <v>3406</v>
      </c>
      <c r="V41" s="19">
        <f t="shared" si="5"/>
        <v>3.317674691720493E-2</v>
      </c>
      <c r="W41" s="1">
        <v>39</v>
      </c>
      <c r="X41" s="4">
        <v>29.5</v>
      </c>
      <c r="Y41" s="19">
        <f t="shared" si="6"/>
        <v>0.32203389830508472</v>
      </c>
      <c r="Z41" s="5">
        <v>3.5999999999999996</v>
      </c>
      <c r="AA41" s="17">
        <f>X41/U41</f>
        <v>8.6611861421021733E-3</v>
      </c>
      <c r="AB41" s="17">
        <f>W41/T41</f>
        <v>1.1082693947144074E-2</v>
      </c>
      <c r="AC41" s="17">
        <f t="shared" si="7"/>
        <v>0.27958154521941403</v>
      </c>
      <c r="AD41" s="18">
        <f>O41/X41</f>
        <v>531.35593220338978</v>
      </c>
      <c r="AE41" s="18">
        <f>N41/W41</f>
        <v>462.82051282051282</v>
      </c>
      <c r="AF41" s="16">
        <f t="shared" si="8"/>
        <v>-0.12898212898212891</v>
      </c>
      <c r="AG41">
        <f t="shared" si="9"/>
        <v>475</v>
      </c>
      <c r="AH41">
        <f t="shared" si="10"/>
        <v>475</v>
      </c>
      <c r="AI41" s="16">
        <f t="shared" si="11"/>
        <v>0</v>
      </c>
      <c r="AJ41" s="18">
        <f t="shared" si="12"/>
        <v>30.910770105143506</v>
      </c>
      <c r="AK41" s="18">
        <f t="shared" si="13"/>
        <v>28.031415149735761</v>
      </c>
      <c r="AL41" s="15">
        <f t="shared" si="14"/>
        <v>0.83406113537117899</v>
      </c>
    </row>
    <row r="42" spans="1:38" x14ac:dyDescent="0.35">
      <c r="A42" s="1" t="s">
        <v>18</v>
      </c>
      <c r="B42" s="1" t="s">
        <v>16</v>
      </c>
      <c r="C42" s="1">
        <v>1</v>
      </c>
      <c r="D42" s="1" t="s">
        <v>48</v>
      </c>
      <c r="E42" s="2">
        <v>279</v>
      </c>
      <c r="F42" s="2">
        <v>249</v>
      </c>
      <c r="G42" s="2">
        <f t="shared" si="0"/>
        <v>30</v>
      </c>
      <c r="H42" s="3">
        <f>E42*K42</f>
        <v>25947</v>
      </c>
      <c r="I42" s="3">
        <f>F42*L42</f>
        <v>22410</v>
      </c>
      <c r="J42" s="19">
        <f t="shared" si="1"/>
        <v>0.15783132530120481</v>
      </c>
      <c r="K42" s="4">
        <v>93</v>
      </c>
      <c r="L42" s="4">
        <v>90</v>
      </c>
      <c r="M42" s="19">
        <f t="shared" si="2"/>
        <v>3.3333333333333333E-2</v>
      </c>
      <c r="N42" s="3">
        <f>E42*Q42</f>
        <v>20088</v>
      </c>
      <c r="O42" s="3">
        <f>F42*R42</f>
        <v>16932</v>
      </c>
      <c r="P42" s="19">
        <f t="shared" si="3"/>
        <v>0.18639262934089298</v>
      </c>
      <c r="Q42" s="1">
        <v>72</v>
      </c>
      <c r="R42" s="1">
        <v>68</v>
      </c>
      <c r="S42" s="19">
        <f t="shared" si="4"/>
        <v>5.8823529411764705E-2</v>
      </c>
      <c r="T42" s="1">
        <v>4227</v>
      </c>
      <c r="U42" s="1">
        <v>3784</v>
      </c>
      <c r="V42" s="19">
        <f t="shared" si="5"/>
        <v>0.11707188160676532</v>
      </c>
      <c r="W42" s="1">
        <v>56</v>
      </c>
      <c r="X42" s="1">
        <v>51</v>
      </c>
      <c r="Y42" s="19">
        <f t="shared" si="6"/>
        <v>9.8039215686274508E-2</v>
      </c>
      <c r="Z42" s="1">
        <v>4.8</v>
      </c>
      <c r="AA42" s="17">
        <f>X42/U42</f>
        <v>1.3477801268498943E-2</v>
      </c>
      <c r="AB42" s="17">
        <f>W42/T42</f>
        <v>1.3248166548379466E-2</v>
      </c>
      <c r="AC42" s="17">
        <f t="shared" si="7"/>
        <v>-1.7037995704551025E-2</v>
      </c>
      <c r="AD42" s="18">
        <f>O42/X42</f>
        <v>332</v>
      </c>
      <c r="AE42" s="18">
        <f>N42/W42</f>
        <v>358.71428571428572</v>
      </c>
      <c r="AF42" s="16">
        <f t="shared" si="8"/>
        <v>8.0464716006884707E-2</v>
      </c>
      <c r="AG42">
        <f t="shared" si="9"/>
        <v>249</v>
      </c>
      <c r="AH42">
        <f t="shared" si="10"/>
        <v>279</v>
      </c>
      <c r="AI42" s="16">
        <f t="shared" si="11"/>
        <v>0.12048192771084337</v>
      </c>
      <c r="AJ42" s="18">
        <f t="shared" si="12"/>
        <v>10.890702625975869</v>
      </c>
      <c r="AK42" s="18">
        <f t="shared" si="13"/>
        <v>10.39693446088795</v>
      </c>
      <c r="AL42" s="15">
        <f t="shared" si="14"/>
        <v>0.5636363636363636</v>
      </c>
    </row>
    <row r="43" spans="1:38" x14ac:dyDescent="0.35">
      <c r="A43" s="1" t="s">
        <v>18</v>
      </c>
      <c r="B43" s="6" t="s">
        <v>28</v>
      </c>
      <c r="C43" s="1">
        <v>2</v>
      </c>
      <c r="D43" s="1" t="s">
        <v>48</v>
      </c>
      <c r="E43" s="2">
        <v>354</v>
      </c>
      <c r="F43" s="2">
        <v>354</v>
      </c>
      <c r="G43" s="2">
        <f t="shared" si="0"/>
        <v>0</v>
      </c>
      <c r="H43" s="3">
        <f>E43*K43</f>
        <v>51684</v>
      </c>
      <c r="I43" s="3">
        <f>F43*L43</f>
        <v>47790</v>
      </c>
      <c r="J43" s="19">
        <f t="shared" si="1"/>
        <v>8.1481481481481488E-2</v>
      </c>
      <c r="K43" s="4">
        <v>146</v>
      </c>
      <c r="L43" s="4">
        <v>135</v>
      </c>
      <c r="M43" s="19">
        <f t="shared" si="2"/>
        <v>8.1481481481481488E-2</v>
      </c>
      <c r="N43" s="3">
        <f>E43*Q43</f>
        <v>27966</v>
      </c>
      <c r="O43" s="3">
        <f>F43*R43</f>
        <v>27258</v>
      </c>
      <c r="P43" s="19">
        <f t="shared" si="3"/>
        <v>2.5974025974025976E-2</v>
      </c>
      <c r="Q43" s="1">
        <v>79</v>
      </c>
      <c r="R43" s="1">
        <v>77</v>
      </c>
      <c r="S43" s="19">
        <f t="shared" si="4"/>
        <v>2.5974025974025976E-2</v>
      </c>
      <c r="T43" s="1">
        <v>7413</v>
      </c>
      <c r="U43" s="1">
        <v>8024</v>
      </c>
      <c r="V43" s="19">
        <f t="shared" si="5"/>
        <v>-7.6146560319042877E-2</v>
      </c>
      <c r="W43" s="1">
        <v>69</v>
      </c>
      <c r="X43" s="1">
        <v>72</v>
      </c>
      <c r="Y43" s="19">
        <f t="shared" si="6"/>
        <v>-4.1666666666666664E-2</v>
      </c>
      <c r="Z43" s="5">
        <v>3.0999999999999996</v>
      </c>
      <c r="AA43" s="17">
        <f>X43/U43</f>
        <v>8.9730807577268201E-3</v>
      </c>
      <c r="AB43" s="17">
        <f>W43/T43</f>
        <v>9.3079724807770131E-3</v>
      </c>
      <c r="AC43" s="17">
        <f t="shared" si="7"/>
        <v>3.7321822024371502E-2</v>
      </c>
      <c r="AD43" s="18">
        <f>O43/X43</f>
        <v>378.58333333333331</v>
      </c>
      <c r="AE43" s="18">
        <f>N43/W43</f>
        <v>405.30434782608694</v>
      </c>
      <c r="AF43" s="16">
        <f t="shared" si="8"/>
        <v>7.0581592320722766E-2</v>
      </c>
      <c r="AG43">
        <f t="shared" si="9"/>
        <v>354</v>
      </c>
      <c r="AH43">
        <f t="shared" si="10"/>
        <v>354</v>
      </c>
      <c r="AI43" s="16">
        <f t="shared" si="11"/>
        <v>0</v>
      </c>
      <c r="AJ43" s="18">
        <f t="shared" si="12"/>
        <v>10.744637798462161</v>
      </c>
      <c r="AK43" s="18">
        <f t="shared" si="13"/>
        <v>9.3529411764705888</v>
      </c>
      <c r="AL43" s="15">
        <f t="shared" si="14"/>
        <v>0.64888888888888885</v>
      </c>
    </row>
    <row r="44" spans="1:38" x14ac:dyDescent="0.35">
      <c r="A44" s="1" t="s">
        <v>18</v>
      </c>
      <c r="B44" s="6" t="s">
        <v>29</v>
      </c>
      <c r="C44" s="1">
        <v>3</v>
      </c>
      <c r="D44" s="1" t="s">
        <v>48</v>
      </c>
      <c r="E44" s="2">
        <v>198</v>
      </c>
      <c r="F44" s="2">
        <v>198</v>
      </c>
      <c r="G44" s="2">
        <f t="shared" si="0"/>
        <v>0</v>
      </c>
      <c r="H44" s="3">
        <f>E44*K44</f>
        <v>40590</v>
      </c>
      <c r="I44" s="3">
        <f>F44*L44</f>
        <v>39996</v>
      </c>
      <c r="J44" s="19">
        <f t="shared" si="1"/>
        <v>1.4851485148514851E-2</v>
      </c>
      <c r="K44" s="4">
        <v>205</v>
      </c>
      <c r="L44" s="4">
        <v>202</v>
      </c>
      <c r="M44" s="19">
        <f t="shared" si="2"/>
        <v>1.4851485148514851E-2</v>
      </c>
      <c r="N44" s="3">
        <f>E44*Q44</f>
        <v>15642</v>
      </c>
      <c r="O44" s="3">
        <f>F44*R44</f>
        <v>15048</v>
      </c>
      <c r="P44" s="19">
        <f t="shared" si="3"/>
        <v>3.9473684210526314E-2</v>
      </c>
      <c r="Q44" s="1">
        <v>79</v>
      </c>
      <c r="R44" s="1">
        <v>76</v>
      </c>
      <c r="S44" s="19">
        <f t="shared" si="4"/>
        <v>3.9473684210526314E-2</v>
      </c>
      <c r="T44" s="1">
        <v>12742</v>
      </c>
      <c r="U44" s="1">
        <v>13647</v>
      </c>
      <c r="V44" s="19">
        <f t="shared" si="5"/>
        <v>-6.6314941012676779E-2</v>
      </c>
      <c r="W44" s="1">
        <v>69</v>
      </c>
      <c r="X44" s="1">
        <v>71</v>
      </c>
      <c r="Y44" s="19">
        <f t="shared" si="6"/>
        <v>-2.8169014084507043E-2</v>
      </c>
      <c r="Z44" s="5">
        <v>4.0999999999999996</v>
      </c>
      <c r="AA44" s="17">
        <f>X44/U44</f>
        <v>5.202608631933758E-3</v>
      </c>
      <c r="AB44" s="17">
        <f>W44/T44</f>
        <v>5.415162454873646E-3</v>
      </c>
      <c r="AC44" s="17">
        <f t="shared" si="7"/>
        <v>4.0855239741699315E-2</v>
      </c>
      <c r="AD44" s="18">
        <f>O44/X44</f>
        <v>211.94366197183098</v>
      </c>
      <c r="AE44" s="18">
        <f>N44/W44</f>
        <v>226.69565217391303</v>
      </c>
      <c r="AF44" s="16">
        <f t="shared" si="8"/>
        <v>6.9603356216628526E-2</v>
      </c>
      <c r="AG44">
        <f t="shared" si="9"/>
        <v>198</v>
      </c>
      <c r="AH44">
        <f t="shared" si="10"/>
        <v>198</v>
      </c>
      <c r="AI44" s="16">
        <f t="shared" si="11"/>
        <v>0</v>
      </c>
      <c r="AJ44" s="18">
        <f t="shared" si="12"/>
        <v>4.4131219588761574</v>
      </c>
      <c r="AK44" s="18">
        <f t="shared" si="13"/>
        <v>4.0334139371290396</v>
      </c>
      <c r="AL44" s="15">
        <f t="shared" si="14"/>
        <v>0.721830985915493</v>
      </c>
    </row>
    <row r="45" spans="1:38" x14ac:dyDescent="0.35">
      <c r="A45" s="1" t="s">
        <v>18</v>
      </c>
      <c r="B45" s="6" t="s">
        <v>30</v>
      </c>
      <c r="C45" s="1">
        <v>4</v>
      </c>
      <c r="D45" s="1" t="s">
        <v>48</v>
      </c>
      <c r="E45" s="2">
        <v>150</v>
      </c>
      <c r="F45" s="2">
        <v>149</v>
      </c>
      <c r="G45" s="2">
        <f t="shared" si="0"/>
        <v>1</v>
      </c>
      <c r="H45" s="3">
        <f>E45*K45</f>
        <v>18600</v>
      </c>
      <c r="I45" s="3">
        <f>F45*L45</f>
        <v>16539</v>
      </c>
      <c r="J45" s="19">
        <f t="shared" si="1"/>
        <v>0.12461454743333938</v>
      </c>
      <c r="K45" s="4">
        <v>124</v>
      </c>
      <c r="L45" s="4">
        <v>111</v>
      </c>
      <c r="M45" s="19">
        <f t="shared" si="2"/>
        <v>0.11711711711711711</v>
      </c>
      <c r="N45" s="3">
        <f>E45*Q45</f>
        <v>15150</v>
      </c>
      <c r="O45" s="3">
        <f>F45*R45</f>
        <v>13410</v>
      </c>
      <c r="P45" s="19">
        <f t="shared" si="3"/>
        <v>0.12975391498881431</v>
      </c>
      <c r="Q45" s="1">
        <v>101</v>
      </c>
      <c r="R45" s="1">
        <v>90</v>
      </c>
      <c r="S45" s="19">
        <f t="shared" si="4"/>
        <v>0.12222222222222222</v>
      </c>
      <c r="T45" s="1">
        <v>9063</v>
      </c>
      <c r="U45" s="1">
        <v>9868</v>
      </c>
      <c r="V45" s="19">
        <f t="shared" si="5"/>
        <v>-8.1576813944061619E-2</v>
      </c>
      <c r="W45" s="1">
        <v>91</v>
      </c>
      <c r="X45" s="1">
        <v>85</v>
      </c>
      <c r="Y45" s="19">
        <f t="shared" si="6"/>
        <v>7.0588235294117646E-2</v>
      </c>
      <c r="Z45" s="5">
        <v>2.7</v>
      </c>
      <c r="AA45" s="17">
        <f>X45/U45</f>
        <v>8.6137008512363195E-3</v>
      </c>
      <c r="AB45" s="17">
        <f>W45/T45</f>
        <v>1.0040825333774688E-2</v>
      </c>
      <c r="AC45" s="17">
        <f t="shared" si="7"/>
        <v>0.16568075757280731</v>
      </c>
      <c r="AD45" s="18">
        <f>O45/X45</f>
        <v>157.76470588235293</v>
      </c>
      <c r="AE45" s="18">
        <f>N45/W45</f>
        <v>166.4835164835165</v>
      </c>
      <c r="AF45" s="16">
        <f t="shared" si="8"/>
        <v>5.5264645868672885E-2</v>
      </c>
      <c r="AG45">
        <f t="shared" si="9"/>
        <v>149</v>
      </c>
      <c r="AH45">
        <f t="shared" si="10"/>
        <v>150</v>
      </c>
      <c r="AI45" s="16">
        <f t="shared" si="11"/>
        <v>6.7114093959731542E-3</v>
      </c>
      <c r="AJ45" s="18">
        <f t="shared" si="12"/>
        <v>3.7239324726911618</v>
      </c>
      <c r="AK45" s="18">
        <f t="shared" si="13"/>
        <v>3.034961491690312</v>
      </c>
      <c r="AL45" s="15">
        <f t="shared" si="14"/>
        <v>0.55111111111111111</v>
      </c>
    </row>
    <row r="46" spans="1:38" x14ac:dyDescent="0.35">
      <c r="A46" s="1" t="s">
        <v>18</v>
      </c>
      <c r="B46" s="6" t="s">
        <v>31</v>
      </c>
      <c r="C46" s="1">
        <v>5</v>
      </c>
      <c r="D46" s="1" t="s">
        <v>48</v>
      </c>
      <c r="E46" s="2">
        <v>449</v>
      </c>
      <c r="F46" s="2">
        <v>499.9</v>
      </c>
      <c r="G46" s="2">
        <f t="shared" si="0"/>
        <v>-50.899999999999977</v>
      </c>
      <c r="H46" s="3">
        <f>E46*K46</f>
        <v>59717</v>
      </c>
      <c r="I46" s="3">
        <f>F46*L46</f>
        <v>67486.5</v>
      </c>
      <c r="J46" s="19">
        <f t="shared" si="1"/>
        <v>-0.11512672904951361</v>
      </c>
      <c r="K46" s="4">
        <v>133</v>
      </c>
      <c r="L46" s="4">
        <v>135</v>
      </c>
      <c r="M46" s="19">
        <f t="shared" si="2"/>
        <v>-1.4814814814814815E-2</v>
      </c>
      <c r="N46" s="3">
        <f>E46*Q46</f>
        <v>30083</v>
      </c>
      <c r="O46" s="3">
        <f>F46*R46</f>
        <v>32493.5</v>
      </c>
      <c r="P46" s="19">
        <f t="shared" si="3"/>
        <v>-7.4184067582747315E-2</v>
      </c>
      <c r="Q46" s="1">
        <v>67</v>
      </c>
      <c r="R46" s="1">
        <v>65</v>
      </c>
      <c r="S46" s="19">
        <f t="shared" si="4"/>
        <v>3.0769230769230771E-2</v>
      </c>
      <c r="T46" s="1">
        <v>10336</v>
      </c>
      <c r="U46" s="1">
        <v>11328</v>
      </c>
      <c r="V46" s="19">
        <f t="shared" si="5"/>
        <v>-8.7570621468926552E-2</v>
      </c>
      <c r="W46" s="1">
        <v>57</v>
      </c>
      <c r="X46" s="1">
        <v>60</v>
      </c>
      <c r="Y46" s="19">
        <f t="shared" si="6"/>
        <v>-0.05</v>
      </c>
      <c r="Z46" s="1">
        <v>3.8</v>
      </c>
      <c r="AA46" s="17">
        <f>X46/U46</f>
        <v>5.2966101694915252E-3</v>
      </c>
      <c r="AB46" s="17">
        <f>W46/T46</f>
        <v>5.5147058823529415E-3</v>
      </c>
      <c r="AC46" s="17">
        <f t="shared" si="7"/>
        <v>4.1176470588235405E-2</v>
      </c>
      <c r="AD46" s="18">
        <f>O46/X46</f>
        <v>541.55833333333328</v>
      </c>
      <c r="AE46" s="18">
        <f>N46/W46</f>
        <v>527.77192982456143</v>
      </c>
      <c r="AF46" s="16">
        <f t="shared" si="8"/>
        <v>-2.5456913244997041E-2</v>
      </c>
      <c r="AG46">
        <f t="shared" si="9"/>
        <v>499.9</v>
      </c>
      <c r="AH46">
        <f t="shared" si="10"/>
        <v>449</v>
      </c>
      <c r="AI46" s="16">
        <f t="shared" si="11"/>
        <v>-0.10182036407281453</v>
      </c>
      <c r="AJ46" s="18">
        <f t="shared" si="12"/>
        <v>8.6880804953560364</v>
      </c>
      <c r="AK46" s="18">
        <f t="shared" si="13"/>
        <v>8.825918079096045</v>
      </c>
      <c r="AL46" s="15">
        <f t="shared" si="14"/>
        <v>0.66500000000000004</v>
      </c>
    </row>
    <row r="47" spans="1:38" x14ac:dyDescent="0.35">
      <c r="A47" s="1" t="s">
        <v>18</v>
      </c>
      <c r="B47" s="6" t="s">
        <v>32</v>
      </c>
      <c r="C47" s="1">
        <v>6</v>
      </c>
      <c r="D47" s="1" t="s">
        <v>48</v>
      </c>
      <c r="E47" s="2">
        <v>399</v>
      </c>
      <c r="F47" s="2">
        <v>399</v>
      </c>
      <c r="G47" s="2">
        <f t="shared" si="0"/>
        <v>0</v>
      </c>
      <c r="H47" s="3">
        <f>E47*K47</f>
        <v>49476</v>
      </c>
      <c r="I47" s="3">
        <f>F47*L47</f>
        <v>46683</v>
      </c>
      <c r="J47" s="19">
        <f t="shared" si="1"/>
        <v>5.9829059829059832E-2</v>
      </c>
      <c r="K47" s="4">
        <v>124</v>
      </c>
      <c r="L47" s="4">
        <v>117</v>
      </c>
      <c r="M47" s="19">
        <f t="shared" si="2"/>
        <v>5.9829059829059832E-2</v>
      </c>
      <c r="N47" s="3">
        <f>E47*Q47</f>
        <v>33516</v>
      </c>
      <c r="O47" s="3">
        <f>F47*R47</f>
        <v>29925</v>
      </c>
      <c r="P47" s="19">
        <f t="shared" si="3"/>
        <v>0.12</v>
      </c>
      <c r="Q47" s="1">
        <v>84</v>
      </c>
      <c r="R47" s="1">
        <v>75</v>
      </c>
      <c r="S47" s="19">
        <f t="shared" si="4"/>
        <v>0.12</v>
      </c>
      <c r="T47" s="1">
        <v>13889</v>
      </c>
      <c r="U47" s="1">
        <v>13600</v>
      </c>
      <c r="V47" s="19">
        <f t="shared" si="5"/>
        <v>2.1250000000000002E-2</v>
      </c>
      <c r="W47" s="1">
        <v>74</v>
      </c>
      <c r="X47" s="4">
        <v>66.5</v>
      </c>
      <c r="Y47" s="19">
        <f t="shared" si="6"/>
        <v>0.11278195488721804</v>
      </c>
      <c r="Z47" s="1">
        <v>4.9000000000000004</v>
      </c>
      <c r="AA47" s="17">
        <f>X47/U47</f>
        <v>4.889705882352941E-3</v>
      </c>
      <c r="AB47" s="17">
        <f>W47/T47</f>
        <v>5.3279573763409891E-3</v>
      </c>
      <c r="AC47" s="17">
        <f t="shared" si="7"/>
        <v>8.9627373206578265E-2</v>
      </c>
      <c r="AD47" s="18">
        <f>O47/X47</f>
        <v>450</v>
      </c>
      <c r="AE47" s="18">
        <f>N47/W47</f>
        <v>452.91891891891891</v>
      </c>
      <c r="AF47" s="16">
        <f t="shared" si="8"/>
        <v>6.4864864864864558E-3</v>
      </c>
      <c r="AG47">
        <f t="shared" si="9"/>
        <v>399</v>
      </c>
      <c r="AH47">
        <f t="shared" si="10"/>
        <v>399</v>
      </c>
      <c r="AI47" s="16">
        <f t="shared" si="11"/>
        <v>0</v>
      </c>
      <c r="AJ47" s="18">
        <f t="shared" si="12"/>
        <v>5.9753761969904238</v>
      </c>
      <c r="AK47" s="18">
        <f t="shared" si="13"/>
        <v>5.6329411764705881</v>
      </c>
      <c r="AL47" s="15">
        <f t="shared" si="14"/>
        <v>0.59615384615384615</v>
      </c>
    </row>
    <row r="48" spans="1:38" x14ac:dyDescent="0.35">
      <c r="A48" s="1" t="s">
        <v>18</v>
      </c>
      <c r="B48" s="6" t="s">
        <v>33</v>
      </c>
      <c r="C48" s="1">
        <v>7</v>
      </c>
      <c r="D48" s="1" t="s">
        <v>48</v>
      </c>
      <c r="E48" s="2">
        <v>419</v>
      </c>
      <c r="F48" s="2">
        <v>419</v>
      </c>
      <c r="G48" s="2">
        <f t="shared" si="0"/>
        <v>0</v>
      </c>
      <c r="H48" s="3">
        <f>E48*K48</f>
        <v>47766</v>
      </c>
      <c r="I48" s="3">
        <f>F48*L48</f>
        <v>44414</v>
      </c>
      <c r="J48" s="19">
        <f t="shared" si="1"/>
        <v>7.5471698113207544E-2</v>
      </c>
      <c r="K48" s="4">
        <v>114</v>
      </c>
      <c r="L48" s="4">
        <v>106</v>
      </c>
      <c r="M48" s="19">
        <f t="shared" si="2"/>
        <v>7.5471698113207544E-2</v>
      </c>
      <c r="N48" s="3">
        <f>E48*Q48</f>
        <v>17179</v>
      </c>
      <c r="O48" s="3">
        <f>F48*R48</f>
        <v>16341</v>
      </c>
      <c r="P48" s="19">
        <f t="shared" si="3"/>
        <v>5.128205128205128E-2</v>
      </c>
      <c r="Q48" s="1">
        <v>41</v>
      </c>
      <c r="R48" s="1">
        <v>39</v>
      </c>
      <c r="S48" s="19">
        <f t="shared" si="4"/>
        <v>5.128205128205128E-2</v>
      </c>
      <c r="T48" s="1">
        <v>9305</v>
      </c>
      <c r="U48" s="1">
        <v>7336</v>
      </c>
      <c r="V48" s="19">
        <f t="shared" si="5"/>
        <v>0.26840239912758995</v>
      </c>
      <c r="W48" s="1">
        <v>31</v>
      </c>
      <c r="X48" s="4">
        <v>41.3</v>
      </c>
      <c r="Y48" s="19">
        <f t="shared" si="6"/>
        <v>-0.24939467312348662</v>
      </c>
      <c r="Z48" s="5">
        <v>2.8</v>
      </c>
      <c r="AA48" s="17">
        <f>X48/U48</f>
        <v>5.6297709923664122E-3</v>
      </c>
      <c r="AB48" s="17">
        <f>W48/T48</f>
        <v>3.3315421816227835E-3</v>
      </c>
      <c r="AC48" s="17">
        <f t="shared" si="7"/>
        <v>-0.40822776163717339</v>
      </c>
      <c r="AD48" s="18">
        <f>O48/X48</f>
        <v>395.66585956416469</v>
      </c>
      <c r="AE48" s="18">
        <f>N48/W48</f>
        <v>554.16129032258061</v>
      </c>
      <c r="AF48" s="16">
        <f t="shared" si="8"/>
        <v>0.40057899090157134</v>
      </c>
      <c r="AG48">
        <f t="shared" si="9"/>
        <v>419</v>
      </c>
      <c r="AH48">
        <f t="shared" si="10"/>
        <v>419</v>
      </c>
      <c r="AI48" s="16">
        <f t="shared" si="11"/>
        <v>0</v>
      </c>
      <c r="AJ48" s="18">
        <f t="shared" si="12"/>
        <v>6.9795808704997313</v>
      </c>
      <c r="AK48" s="18">
        <f t="shared" si="13"/>
        <v>8.2817611777535447</v>
      </c>
      <c r="AL48" s="15">
        <f t="shared" si="14"/>
        <v>0.73548387096774193</v>
      </c>
    </row>
    <row r="49" spans="1:38" x14ac:dyDescent="0.35">
      <c r="A49" s="1" t="s">
        <v>18</v>
      </c>
      <c r="B49" s="6" t="s">
        <v>34</v>
      </c>
      <c r="C49" s="1">
        <v>8</v>
      </c>
      <c r="D49" s="1" t="s">
        <v>49</v>
      </c>
      <c r="E49" s="2">
        <v>175</v>
      </c>
      <c r="F49" s="2">
        <v>169.9</v>
      </c>
      <c r="G49" s="2">
        <f t="shared" si="0"/>
        <v>5.0999999999999943</v>
      </c>
      <c r="H49" s="3">
        <f>E49*K49</f>
        <v>24500</v>
      </c>
      <c r="I49" s="3">
        <f>F49*L49</f>
        <v>22766.600000000002</v>
      </c>
      <c r="J49" s="19">
        <f t="shared" si="1"/>
        <v>7.6137851062521314E-2</v>
      </c>
      <c r="K49" s="4">
        <v>140</v>
      </c>
      <c r="L49" s="4">
        <v>134</v>
      </c>
      <c r="M49" s="19">
        <f t="shared" si="2"/>
        <v>4.4776119402985072E-2</v>
      </c>
      <c r="N49" s="3">
        <f>E49*Q49</f>
        <v>13125</v>
      </c>
      <c r="O49" s="3">
        <f>F49*R49</f>
        <v>11213.4</v>
      </c>
      <c r="P49" s="19">
        <f t="shared" si="3"/>
        <v>0.17047461073358663</v>
      </c>
      <c r="Q49" s="1">
        <v>75</v>
      </c>
      <c r="R49" s="1">
        <v>66</v>
      </c>
      <c r="S49" s="19">
        <f t="shared" si="4"/>
        <v>0.13636363636363635</v>
      </c>
      <c r="T49" s="1">
        <v>8626</v>
      </c>
      <c r="U49" s="1">
        <v>8701</v>
      </c>
      <c r="V49" s="19">
        <f t="shared" si="5"/>
        <v>-8.6196988851856109E-3</v>
      </c>
      <c r="W49" s="1">
        <v>65</v>
      </c>
      <c r="X49" s="1">
        <v>61</v>
      </c>
      <c r="Y49" s="19">
        <f t="shared" si="6"/>
        <v>6.5573770491803282E-2</v>
      </c>
      <c r="Z49" s="1">
        <v>4.4000000000000004</v>
      </c>
      <c r="AA49" s="17">
        <f>X49/U49</f>
        <v>7.0106884266176303E-3</v>
      </c>
      <c r="AB49" s="17">
        <f>W49/T49</f>
        <v>7.5353582193368887E-3</v>
      </c>
      <c r="AC49" s="17">
        <f t="shared" si="7"/>
        <v>7.4838555187709307E-2</v>
      </c>
      <c r="AD49" s="18">
        <f>O49/X49</f>
        <v>183.82622950819672</v>
      </c>
      <c r="AE49" s="18">
        <f>N49/W49</f>
        <v>201.92307692307693</v>
      </c>
      <c r="AF49" s="16">
        <f t="shared" si="8"/>
        <v>9.8445403919212124E-2</v>
      </c>
      <c r="AG49">
        <f t="shared" si="9"/>
        <v>169.9</v>
      </c>
      <c r="AH49">
        <f t="shared" si="10"/>
        <v>175</v>
      </c>
      <c r="AI49" s="16">
        <f t="shared" si="11"/>
        <v>3.0017657445556175E-2</v>
      </c>
      <c r="AJ49" s="18">
        <f t="shared" si="12"/>
        <v>4.3618131231161605</v>
      </c>
      <c r="AK49" s="18">
        <f t="shared" si="13"/>
        <v>3.9052982415814275</v>
      </c>
      <c r="AL49" s="15">
        <f t="shared" si="14"/>
        <v>0.65116279069767447</v>
      </c>
    </row>
    <row r="50" spans="1:38" x14ac:dyDescent="0.35">
      <c r="A50" s="1" t="s">
        <v>18</v>
      </c>
      <c r="B50" s="6" t="s">
        <v>35</v>
      </c>
      <c r="C50" s="1">
        <v>9</v>
      </c>
      <c r="D50" s="1" t="s">
        <v>49</v>
      </c>
      <c r="E50" s="2">
        <v>139</v>
      </c>
      <c r="F50" s="2">
        <v>119</v>
      </c>
      <c r="G50" s="2">
        <f t="shared" si="0"/>
        <v>20</v>
      </c>
      <c r="H50" s="3">
        <f>E50*K50</f>
        <v>14595</v>
      </c>
      <c r="I50" s="3">
        <f>F50*L50</f>
        <v>12733</v>
      </c>
      <c r="J50" s="19">
        <f t="shared" si="1"/>
        <v>0.1462341946124244</v>
      </c>
      <c r="K50" s="4">
        <v>105</v>
      </c>
      <c r="L50" s="4">
        <v>107</v>
      </c>
      <c r="M50" s="19">
        <f t="shared" si="2"/>
        <v>-1.8691588785046728E-2</v>
      </c>
      <c r="N50" s="3">
        <f>E50*Q50</f>
        <v>6950</v>
      </c>
      <c r="O50" s="3">
        <f>F50*R50</f>
        <v>5474</v>
      </c>
      <c r="P50" s="19">
        <f t="shared" si="3"/>
        <v>0.26963829009864815</v>
      </c>
      <c r="Q50" s="1">
        <v>50</v>
      </c>
      <c r="R50" s="1">
        <v>46</v>
      </c>
      <c r="S50" s="19">
        <f t="shared" si="4"/>
        <v>8.6956521739130432E-2</v>
      </c>
      <c r="T50" s="1">
        <v>4474</v>
      </c>
      <c r="U50" s="1">
        <v>4707</v>
      </c>
      <c r="V50" s="19">
        <f t="shared" si="5"/>
        <v>-4.9500743573401319E-2</v>
      </c>
      <c r="W50" s="1">
        <v>40</v>
      </c>
      <c r="X50" s="4">
        <v>43.56</v>
      </c>
      <c r="Y50" s="19">
        <f t="shared" si="6"/>
        <v>-8.1726354453627234E-2</v>
      </c>
      <c r="Z50" s="5">
        <v>2.5</v>
      </c>
      <c r="AA50" s="17">
        <f>X50/U50</f>
        <v>9.2543021032504783E-3</v>
      </c>
      <c r="AB50" s="17">
        <f>W50/T50</f>
        <v>8.9405453732677685E-3</v>
      </c>
      <c r="AC50" s="17">
        <f t="shared" si="7"/>
        <v>-3.3903878053916779E-2</v>
      </c>
      <c r="AD50" s="18">
        <f>O50/X50</f>
        <v>125.66574839302112</v>
      </c>
      <c r="AE50" s="18">
        <f>N50/W50</f>
        <v>173.75</v>
      </c>
      <c r="AF50" s="16">
        <f t="shared" si="8"/>
        <v>0.38263609791742786</v>
      </c>
      <c r="AG50">
        <f t="shared" si="9"/>
        <v>119</v>
      </c>
      <c r="AH50">
        <f t="shared" si="10"/>
        <v>139</v>
      </c>
      <c r="AI50" s="16">
        <f t="shared" si="11"/>
        <v>0.16806722689075632</v>
      </c>
      <c r="AJ50" s="18">
        <f t="shared" si="12"/>
        <v>4.8156012516763527</v>
      </c>
      <c r="AK50" s="18">
        <f t="shared" si="13"/>
        <v>3.8680688336520075</v>
      </c>
      <c r="AL50" s="15">
        <f t="shared" si="14"/>
        <v>0.67741935483870963</v>
      </c>
    </row>
    <row r="51" spans="1:38" x14ac:dyDescent="0.35">
      <c r="A51" s="1" t="s">
        <v>18</v>
      </c>
      <c r="B51" s="6" t="s">
        <v>36</v>
      </c>
      <c r="C51" s="1">
        <v>10</v>
      </c>
      <c r="D51" s="1" t="s">
        <v>49</v>
      </c>
      <c r="E51" s="2">
        <v>79</v>
      </c>
      <c r="F51" s="2">
        <v>79</v>
      </c>
      <c r="G51" s="2">
        <f t="shared" si="0"/>
        <v>0</v>
      </c>
      <c r="H51" s="3">
        <f>E51*K51</f>
        <v>9717</v>
      </c>
      <c r="I51" s="3">
        <f>F51*L51</f>
        <v>9243</v>
      </c>
      <c r="J51" s="19">
        <f t="shared" si="1"/>
        <v>5.128205128205128E-2</v>
      </c>
      <c r="K51" s="4">
        <v>123</v>
      </c>
      <c r="L51" s="4">
        <v>117</v>
      </c>
      <c r="M51" s="19">
        <f t="shared" si="2"/>
        <v>5.128205128205128E-2</v>
      </c>
      <c r="N51" s="3">
        <f>E51*Q51</f>
        <v>10270</v>
      </c>
      <c r="O51" s="3">
        <f>F51*R51</f>
        <v>9164</v>
      </c>
      <c r="P51" s="19">
        <f t="shared" si="3"/>
        <v>0.1206896551724138</v>
      </c>
      <c r="Q51" s="1">
        <v>130</v>
      </c>
      <c r="R51" s="1">
        <v>116</v>
      </c>
      <c r="S51" s="19">
        <f t="shared" si="4"/>
        <v>0.1206896551724138</v>
      </c>
      <c r="T51" s="1">
        <v>10327</v>
      </c>
      <c r="U51" s="1">
        <v>9993</v>
      </c>
      <c r="V51" s="19">
        <f t="shared" si="5"/>
        <v>3.3423396377464228E-2</v>
      </c>
      <c r="W51" s="1">
        <v>120</v>
      </c>
      <c r="X51" s="1">
        <v>111</v>
      </c>
      <c r="Y51" s="19">
        <f t="shared" si="6"/>
        <v>8.1081081081081086E-2</v>
      </c>
      <c r="Z51" s="5">
        <v>2</v>
      </c>
      <c r="AA51" s="17">
        <f>X51/U51</f>
        <v>1.1107775442809968E-2</v>
      </c>
      <c r="AB51" s="17">
        <f>W51/T51</f>
        <v>1.1620025176721217E-2</v>
      </c>
      <c r="AC51" s="17">
        <f t="shared" si="7"/>
        <v>4.6116320639415398E-2</v>
      </c>
      <c r="AD51" s="18">
        <f>O51/X51</f>
        <v>82.558558558558559</v>
      </c>
      <c r="AE51" s="18">
        <f>N51/W51</f>
        <v>85.583333333333329</v>
      </c>
      <c r="AF51" s="16">
        <f t="shared" si="8"/>
        <v>3.6637931034482693E-2</v>
      </c>
      <c r="AG51">
        <f t="shared" si="9"/>
        <v>79</v>
      </c>
      <c r="AH51">
        <f t="shared" si="10"/>
        <v>79</v>
      </c>
      <c r="AI51" s="16">
        <f t="shared" si="11"/>
        <v>0</v>
      </c>
      <c r="AJ51" s="18">
        <f t="shared" si="12"/>
        <v>1.9354120267260579</v>
      </c>
      <c r="AK51" s="18">
        <f t="shared" si="13"/>
        <v>1.8419893925748023</v>
      </c>
      <c r="AL51" s="15">
        <f t="shared" si="14"/>
        <v>0.48616600790513836</v>
      </c>
    </row>
    <row r="52" spans="1:38" x14ac:dyDescent="0.35">
      <c r="A52" s="1" t="s">
        <v>18</v>
      </c>
      <c r="B52" s="6" t="s">
        <v>37</v>
      </c>
      <c r="C52" s="1">
        <v>11</v>
      </c>
      <c r="D52" s="1" t="s">
        <v>49</v>
      </c>
      <c r="E52" s="2">
        <v>149</v>
      </c>
      <c r="F52" s="2">
        <v>149</v>
      </c>
      <c r="G52" s="2">
        <f t="shared" si="0"/>
        <v>0</v>
      </c>
      <c r="H52" s="3">
        <f>E52*K52</f>
        <v>21307</v>
      </c>
      <c r="I52" s="3">
        <f>F52*L52</f>
        <v>20860</v>
      </c>
      <c r="J52" s="19">
        <f t="shared" si="1"/>
        <v>2.1428571428571429E-2</v>
      </c>
      <c r="K52" s="4">
        <v>143</v>
      </c>
      <c r="L52" s="4">
        <v>140</v>
      </c>
      <c r="M52" s="19">
        <f t="shared" si="2"/>
        <v>2.1428571428571429E-2</v>
      </c>
      <c r="N52" s="3">
        <f>E52*Q52</f>
        <v>14155</v>
      </c>
      <c r="O52" s="3">
        <f>F52*R52</f>
        <v>13857</v>
      </c>
      <c r="P52" s="19">
        <f t="shared" si="3"/>
        <v>2.1505376344086023E-2</v>
      </c>
      <c r="Q52" s="1">
        <v>95</v>
      </c>
      <c r="R52" s="1">
        <v>93</v>
      </c>
      <c r="S52" s="19">
        <f t="shared" si="4"/>
        <v>2.1505376344086023E-2</v>
      </c>
      <c r="T52" s="1">
        <v>7505</v>
      </c>
      <c r="U52" s="1">
        <v>6441</v>
      </c>
      <c r="V52" s="19">
        <f t="shared" si="5"/>
        <v>0.16519174041297935</v>
      </c>
      <c r="W52" s="1">
        <v>85</v>
      </c>
      <c r="X52" s="4">
        <v>79.099999999999994</v>
      </c>
      <c r="Y52" s="19">
        <f t="shared" si="6"/>
        <v>7.4589127686472897E-2</v>
      </c>
      <c r="Z52" s="5">
        <v>2.2000000000000002</v>
      </c>
      <c r="AA52" s="17">
        <f>X52/U52</f>
        <v>1.2280701754385963E-2</v>
      </c>
      <c r="AB52" s="17">
        <f>W52/T52</f>
        <v>1.1325782811459028E-2</v>
      </c>
      <c r="AC52" s="17">
        <f t="shared" si="7"/>
        <v>-7.7757685352621883E-2</v>
      </c>
      <c r="AD52" s="18">
        <f>O52/X52</f>
        <v>175.18331226295828</v>
      </c>
      <c r="AE52" s="18">
        <f>N52/W52</f>
        <v>166.52941176470588</v>
      </c>
      <c r="AF52" s="16">
        <f t="shared" si="8"/>
        <v>-4.9399114484503473E-2</v>
      </c>
      <c r="AG52">
        <f t="shared" si="9"/>
        <v>149</v>
      </c>
      <c r="AH52">
        <f t="shared" si="10"/>
        <v>149</v>
      </c>
      <c r="AI52" s="16">
        <f t="shared" si="11"/>
        <v>0</v>
      </c>
      <c r="AJ52" s="18">
        <f t="shared" si="12"/>
        <v>4.7251165889407059</v>
      </c>
      <c r="AK52" s="18">
        <f t="shared" si="13"/>
        <v>5.3900015525539509</v>
      </c>
      <c r="AL52" s="15">
        <f t="shared" si="14"/>
        <v>0.60084033613445376</v>
      </c>
    </row>
    <row r="53" spans="1:38" x14ac:dyDescent="0.35">
      <c r="A53" s="1" t="s">
        <v>18</v>
      </c>
      <c r="B53" s="6" t="s">
        <v>38</v>
      </c>
      <c r="C53" s="1">
        <v>12</v>
      </c>
      <c r="D53" s="1" t="s">
        <v>50</v>
      </c>
      <c r="E53" s="2">
        <v>699</v>
      </c>
      <c r="F53" s="2">
        <v>649.20000000000005</v>
      </c>
      <c r="G53" s="2">
        <f t="shared" si="0"/>
        <v>49.799999999999955</v>
      </c>
      <c r="H53" s="3">
        <f>E53*K53</f>
        <v>84579</v>
      </c>
      <c r="I53" s="3">
        <f>F53*L53</f>
        <v>76605.600000000006</v>
      </c>
      <c r="J53" s="19">
        <f t="shared" si="1"/>
        <v>0.10408377455434059</v>
      </c>
      <c r="K53" s="4">
        <v>121</v>
      </c>
      <c r="L53" s="4">
        <v>118</v>
      </c>
      <c r="M53" s="19">
        <f t="shared" si="2"/>
        <v>2.5423728813559324E-2</v>
      </c>
      <c r="N53" s="3">
        <f>E53*Q53</f>
        <v>69900</v>
      </c>
      <c r="O53" s="3">
        <f>F53*R53</f>
        <v>61024.800000000003</v>
      </c>
      <c r="P53" s="19">
        <f t="shared" si="3"/>
        <v>0.14543595390726388</v>
      </c>
      <c r="Q53" s="1">
        <v>100</v>
      </c>
      <c r="R53" s="1">
        <v>94</v>
      </c>
      <c r="S53" s="19">
        <f t="shared" si="4"/>
        <v>6.3829787234042548E-2</v>
      </c>
      <c r="T53" s="1">
        <v>4128</v>
      </c>
      <c r="U53" s="1">
        <v>4086</v>
      </c>
      <c r="V53" s="19">
        <f t="shared" si="5"/>
        <v>1.0279001468428781E-2</v>
      </c>
      <c r="W53" s="1">
        <v>90</v>
      </c>
      <c r="X53" s="1">
        <v>89</v>
      </c>
      <c r="Y53" s="19">
        <f t="shared" si="6"/>
        <v>1.1235955056179775E-2</v>
      </c>
      <c r="Z53" s="1">
        <v>4</v>
      </c>
      <c r="AA53" s="17">
        <f>X53/U53</f>
        <v>2.178169358786099E-2</v>
      </c>
      <c r="AB53" s="17">
        <f>W53/T53</f>
        <v>2.1802325581395349E-2</v>
      </c>
      <c r="AC53" s="17">
        <f t="shared" si="7"/>
        <v>9.472171413639456E-4</v>
      </c>
      <c r="AD53" s="18">
        <f>O53/X53</f>
        <v>685.67191011235957</v>
      </c>
      <c r="AE53" s="18">
        <f>N53/W53</f>
        <v>776.66666666666663</v>
      </c>
      <c r="AF53" s="16">
        <f t="shared" si="8"/>
        <v>0.1327088877527387</v>
      </c>
      <c r="AG53">
        <f t="shared" si="9"/>
        <v>649.20000000000005</v>
      </c>
      <c r="AH53">
        <f t="shared" si="10"/>
        <v>699</v>
      </c>
      <c r="AI53" s="16">
        <f t="shared" si="11"/>
        <v>7.6709796672828026E-2</v>
      </c>
      <c r="AJ53" s="18">
        <f t="shared" si="12"/>
        <v>37.422238372093027</v>
      </c>
      <c r="AK53" s="18">
        <f t="shared" si="13"/>
        <v>33.683406754772399</v>
      </c>
      <c r="AL53" s="15">
        <f t="shared" si="14"/>
        <v>0.54751131221719462</v>
      </c>
    </row>
    <row r="54" spans="1:38" x14ac:dyDescent="0.35">
      <c r="A54" s="1" t="s">
        <v>18</v>
      </c>
      <c r="B54" s="6" t="s">
        <v>39</v>
      </c>
      <c r="C54" s="1">
        <v>13</v>
      </c>
      <c r="D54" s="1" t="s">
        <v>50</v>
      </c>
      <c r="E54" s="2">
        <v>136</v>
      </c>
      <c r="F54" s="2">
        <v>136</v>
      </c>
      <c r="G54" s="2">
        <f t="shared" si="0"/>
        <v>0</v>
      </c>
      <c r="H54" s="3">
        <f>E54*K54</f>
        <v>19312</v>
      </c>
      <c r="I54" s="3">
        <f>F54*L54</f>
        <v>17816</v>
      </c>
      <c r="J54" s="19">
        <f t="shared" si="1"/>
        <v>8.3969465648854963E-2</v>
      </c>
      <c r="K54" s="4">
        <v>142</v>
      </c>
      <c r="L54" s="4">
        <v>131</v>
      </c>
      <c r="M54" s="19">
        <f t="shared" si="2"/>
        <v>8.3969465648854963E-2</v>
      </c>
      <c r="N54" s="3">
        <f>E54*Q54</f>
        <v>4216</v>
      </c>
      <c r="O54" s="3">
        <f>F54*R54</f>
        <v>4080</v>
      </c>
      <c r="P54" s="19">
        <f t="shared" si="3"/>
        <v>3.3333333333333333E-2</v>
      </c>
      <c r="Q54" s="1">
        <v>31</v>
      </c>
      <c r="R54" s="1">
        <v>30</v>
      </c>
      <c r="S54" s="19">
        <f t="shared" si="4"/>
        <v>3.3333333333333333E-2</v>
      </c>
      <c r="T54" s="1">
        <v>3565</v>
      </c>
      <c r="U54" s="1">
        <v>3759</v>
      </c>
      <c r="V54" s="19">
        <f t="shared" si="5"/>
        <v>-5.160947060388401E-2</v>
      </c>
      <c r="W54" s="1">
        <v>34</v>
      </c>
      <c r="X54" s="4">
        <v>32.5</v>
      </c>
      <c r="Y54" s="19">
        <f t="shared" si="6"/>
        <v>4.6153846153846156E-2</v>
      </c>
      <c r="Z54" s="5">
        <v>2.2000000000000002</v>
      </c>
      <c r="AA54" s="17">
        <f>X54/U54</f>
        <v>8.6459164671455167E-3</v>
      </c>
      <c r="AB54" s="17">
        <f>W54/T54</f>
        <v>9.5371669004207568E-3</v>
      </c>
      <c r="AC54" s="17">
        <f t="shared" si="7"/>
        <v>0.10308339626712699</v>
      </c>
      <c r="AD54" s="18">
        <f>O54/X54</f>
        <v>125.53846153846153</v>
      </c>
      <c r="AE54" s="18">
        <f>N54/W54</f>
        <v>124</v>
      </c>
      <c r="AF54" s="16">
        <f t="shared" si="8"/>
        <v>-1.225490196078427E-2</v>
      </c>
      <c r="AG54">
        <f t="shared" si="9"/>
        <v>136</v>
      </c>
      <c r="AH54">
        <f t="shared" si="10"/>
        <v>136</v>
      </c>
      <c r="AI54" s="16">
        <f t="shared" si="11"/>
        <v>0</v>
      </c>
      <c r="AJ54" s="18">
        <f t="shared" si="12"/>
        <v>6.599719495091164</v>
      </c>
      <c r="AK54" s="18">
        <f t="shared" si="13"/>
        <v>5.8249534450651765</v>
      </c>
      <c r="AL54" s="15">
        <f t="shared" si="14"/>
        <v>0.82080924855491333</v>
      </c>
    </row>
    <row r="55" spans="1:38" x14ac:dyDescent="0.35">
      <c r="A55" s="1" t="s">
        <v>18</v>
      </c>
      <c r="B55" s="6" t="s">
        <v>40</v>
      </c>
      <c r="C55" s="1">
        <v>14</v>
      </c>
      <c r="D55" s="1" t="s">
        <v>50</v>
      </c>
      <c r="E55" s="2">
        <v>249</v>
      </c>
      <c r="F55" s="2">
        <v>249</v>
      </c>
      <c r="G55" s="2">
        <f t="shared" si="0"/>
        <v>0</v>
      </c>
      <c r="H55" s="3">
        <f>E55*K55</f>
        <v>41832</v>
      </c>
      <c r="I55" s="3">
        <f>F55*L55</f>
        <v>38595</v>
      </c>
      <c r="J55" s="19">
        <f t="shared" si="1"/>
        <v>8.387096774193549E-2</v>
      </c>
      <c r="K55" s="4">
        <v>168</v>
      </c>
      <c r="L55" s="4">
        <v>155</v>
      </c>
      <c r="M55" s="19">
        <f t="shared" si="2"/>
        <v>8.387096774193549E-2</v>
      </c>
      <c r="N55" s="3">
        <f>E55*Q55</f>
        <v>27390</v>
      </c>
      <c r="O55" s="3">
        <f>F55*R55</f>
        <v>26394</v>
      </c>
      <c r="P55" s="19">
        <f t="shared" si="3"/>
        <v>3.7735849056603772E-2</v>
      </c>
      <c r="Q55" s="1">
        <v>110</v>
      </c>
      <c r="R55" s="1">
        <v>106</v>
      </c>
      <c r="S55" s="19">
        <f t="shared" si="4"/>
        <v>3.7735849056603772E-2</v>
      </c>
      <c r="T55" s="1">
        <v>8062</v>
      </c>
      <c r="U55" s="1">
        <v>8903</v>
      </c>
      <c r="V55" s="19">
        <f t="shared" si="5"/>
        <v>-9.4462540716612378E-2</v>
      </c>
      <c r="W55" s="1">
        <v>100</v>
      </c>
      <c r="X55" s="1">
        <v>101</v>
      </c>
      <c r="Y55" s="19">
        <f t="shared" si="6"/>
        <v>-9.9009900990099011E-3</v>
      </c>
      <c r="Z55" s="1">
        <v>4.7</v>
      </c>
      <c r="AA55" s="17">
        <f>X55/U55</f>
        <v>1.1344490621138941E-2</v>
      </c>
      <c r="AB55" s="17">
        <f>W55/T55</f>
        <v>1.2403870007442322E-2</v>
      </c>
      <c r="AC55" s="17">
        <f t="shared" si="7"/>
        <v>9.3382719566920791E-2</v>
      </c>
      <c r="AD55" s="18">
        <f>O55/X55</f>
        <v>261.32673267326732</v>
      </c>
      <c r="AE55" s="18">
        <f>N55/W55</f>
        <v>273.89999999999998</v>
      </c>
      <c r="AF55" s="16">
        <f t="shared" si="8"/>
        <v>4.8113207547169773E-2</v>
      </c>
      <c r="AG55">
        <f t="shared" si="9"/>
        <v>249</v>
      </c>
      <c r="AH55">
        <f t="shared" si="10"/>
        <v>249</v>
      </c>
      <c r="AI55" s="16">
        <f t="shared" si="11"/>
        <v>0</v>
      </c>
      <c r="AJ55" s="18">
        <f t="shared" si="12"/>
        <v>8.5862068965517242</v>
      </c>
      <c r="AK55" s="18">
        <f t="shared" si="13"/>
        <v>7.2996742671009773</v>
      </c>
      <c r="AL55" s="15">
        <f t="shared" si="14"/>
        <v>0.60431654676258995</v>
      </c>
    </row>
    <row r="56" spans="1:38" x14ac:dyDescent="0.35">
      <c r="A56" s="1" t="s">
        <v>18</v>
      </c>
      <c r="B56" s="6" t="s">
        <v>41</v>
      </c>
      <c r="C56" s="1">
        <v>15</v>
      </c>
      <c r="D56" s="1" t="s">
        <v>50</v>
      </c>
      <c r="E56" s="2">
        <v>155</v>
      </c>
      <c r="F56" s="2">
        <v>155</v>
      </c>
      <c r="G56" s="2">
        <f t="shared" si="0"/>
        <v>0</v>
      </c>
      <c r="H56" s="3">
        <f>E56*K56</f>
        <v>19375</v>
      </c>
      <c r="I56" s="3">
        <f>F56*L56</f>
        <v>18445</v>
      </c>
      <c r="J56" s="19">
        <f t="shared" si="1"/>
        <v>5.0420168067226892E-2</v>
      </c>
      <c r="K56" s="4">
        <v>125</v>
      </c>
      <c r="L56" s="4">
        <v>119</v>
      </c>
      <c r="M56" s="19">
        <f t="shared" si="2"/>
        <v>5.0420168067226892E-2</v>
      </c>
      <c r="N56" s="3">
        <f>E56*Q56</f>
        <v>12555</v>
      </c>
      <c r="O56" s="3">
        <f>F56*R56</f>
        <v>11160</v>
      </c>
      <c r="P56" s="19">
        <f t="shared" si="3"/>
        <v>0.125</v>
      </c>
      <c r="Q56" s="1">
        <v>81</v>
      </c>
      <c r="R56" s="1">
        <v>72</v>
      </c>
      <c r="S56" s="19">
        <f t="shared" si="4"/>
        <v>0.125</v>
      </c>
      <c r="T56" s="1">
        <v>11273</v>
      </c>
      <c r="U56" s="1">
        <v>10714</v>
      </c>
      <c r="V56" s="19">
        <f t="shared" si="5"/>
        <v>5.2174724659324247E-2</v>
      </c>
      <c r="W56" s="1">
        <v>71</v>
      </c>
      <c r="X56" s="1">
        <v>67</v>
      </c>
      <c r="Y56" s="19">
        <f t="shared" si="6"/>
        <v>5.9701492537313432E-2</v>
      </c>
      <c r="Z56" s="5">
        <v>3.8</v>
      </c>
      <c r="AA56" s="17">
        <f>X56/U56</f>
        <v>6.2535000933358221E-3</v>
      </c>
      <c r="AB56" s="17">
        <f>W56/T56</f>
        <v>6.2982347201277385E-3</v>
      </c>
      <c r="AC56" s="17">
        <f t="shared" si="7"/>
        <v>7.1535342007252554E-3</v>
      </c>
      <c r="AD56" s="18">
        <f>O56/X56</f>
        <v>166.56716417910448</v>
      </c>
      <c r="AE56" s="18">
        <f>N56/W56</f>
        <v>176.83098591549296</v>
      </c>
      <c r="AF56" s="16">
        <f t="shared" si="8"/>
        <v>6.1619718309859149E-2</v>
      </c>
      <c r="AG56">
        <f t="shared" si="9"/>
        <v>155</v>
      </c>
      <c r="AH56">
        <f t="shared" si="10"/>
        <v>155</v>
      </c>
      <c r="AI56" s="16">
        <f t="shared" si="11"/>
        <v>0</v>
      </c>
      <c r="AJ56" s="18">
        <f t="shared" si="12"/>
        <v>2.8324314734320946</v>
      </c>
      <c r="AK56" s="18">
        <f t="shared" si="13"/>
        <v>2.7632070188538362</v>
      </c>
      <c r="AL56" s="15">
        <f t="shared" si="14"/>
        <v>0.60679611650485432</v>
      </c>
    </row>
    <row r="57" spans="1:38" x14ac:dyDescent="0.35">
      <c r="A57" s="1" t="s">
        <v>18</v>
      </c>
      <c r="B57" s="6" t="s">
        <v>42</v>
      </c>
      <c r="C57" s="1">
        <v>16</v>
      </c>
      <c r="D57" s="1" t="s">
        <v>50</v>
      </c>
      <c r="E57" s="2">
        <v>627</v>
      </c>
      <c r="F57" s="2">
        <v>627</v>
      </c>
      <c r="G57" s="2">
        <f t="shared" si="0"/>
        <v>0</v>
      </c>
      <c r="H57" s="3">
        <f>E57*K57</f>
        <v>75240</v>
      </c>
      <c r="I57" s="3">
        <f>F57*L57</f>
        <v>70851</v>
      </c>
      <c r="J57" s="19">
        <f t="shared" si="1"/>
        <v>6.1946902654867256E-2</v>
      </c>
      <c r="K57" s="4">
        <v>120</v>
      </c>
      <c r="L57" s="4">
        <v>113</v>
      </c>
      <c r="M57" s="19">
        <f t="shared" si="2"/>
        <v>6.1946902654867256E-2</v>
      </c>
      <c r="N57" s="3">
        <f>E57*Q57</f>
        <v>81510</v>
      </c>
      <c r="O57" s="3">
        <f>F57*R57</f>
        <v>76494</v>
      </c>
      <c r="P57" s="19">
        <f t="shared" si="3"/>
        <v>6.5573770491803282E-2</v>
      </c>
      <c r="Q57" s="1">
        <v>130</v>
      </c>
      <c r="R57" s="1">
        <v>122</v>
      </c>
      <c r="S57" s="19">
        <f t="shared" si="4"/>
        <v>6.5573770491803282E-2</v>
      </c>
      <c r="T57" s="1">
        <v>14833</v>
      </c>
      <c r="U57" s="1">
        <v>14674</v>
      </c>
      <c r="V57" s="19">
        <f t="shared" si="5"/>
        <v>1.0835491345236472E-2</v>
      </c>
      <c r="W57" s="1">
        <v>120</v>
      </c>
      <c r="X57" s="4">
        <v>95.14</v>
      </c>
      <c r="Y57" s="19">
        <f t="shared" si="6"/>
        <v>0.26129913811225564</v>
      </c>
      <c r="Z57" s="1">
        <v>4.7</v>
      </c>
      <c r="AA57" s="17">
        <f>X57/U57</f>
        <v>6.4835763936213712E-3</v>
      </c>
      <c r="AB57" s="17">
        <f>W57/T57</f>
        <v>8.0900694397626916E-3</v>
      </c>
      <c r="AC57" s="17">
        <f t="shared" si="7"/>
        <v>0.24777884127683136</v>
      </c>
      <c r="AD57" s="18">
        <f>O57/X57</f>
        <v>804.01513558965735</v>
      </c>
      <c r="AE57" s="18">
        <f>N57/W57</f>
        <v>679.25</v>
      </c>
      <c r="AF57" s="16">
        <f t="shared" si="8"/>
        <v>-0.15517759562841529</v>
      </c>
      <c r="AG57">
        <f t="shared" si="9"/>
        <v>627</v>
      </c>
      <c r="AH57">
        <f t="shared" si="10"/>
        <v>627</v>
      </c>
      <c r="AI57" s="16">
        <f t="shared" si="11"/>
        <v>0</v>
      </c>
      <c r="AJ57" s="18">
        <f t="shared" si="12"/>
        <v>10.567653205690016</v>
      </c>
      <c r="AK57" s="18">
        <f t="shared" si="13"/>
        <v>10.041229385307346</v>
      </c>
      <c r="AL57" s="15">
        <f t="shared" si="14"/>
        <v>0.48</v>
      </c>
    </row>
    <row r="58" spans="1:38" x14ac:dyDescent="0.35">
      <c r="A58" s="1" t="s">
        <v>18</v>
      </c>
      <c r="B58" s="6" t="s">
        <v>43</v>
      </c>
      <c r="C58" s="1">
        <v>17</v>
      </c>
      <c r="D58" s="1" t="s">
        <v>50</v>
      </c>
      <c r="E58" s="2">
        <v>179</v>
      </c>
      <c r="F58" s="2">
        <v>169</v>
      </c>
      <c r="G58" s="2">
        <f t="shared" si="0"/>
        <v>10</v>
      </c>
      <c r="H58" s="3">
        <f>E58*K58</f>
        <v>34010</v>
      </c>
      <c r="I58" s="3">
        <f>F58*L58</f>
        <v>28392</v>
      </c>
      <c r="J58" s="19">
        <f t="shared" si="1"/>
        <v>0.19787264018033249</v>
      </c>
      <c r="K58" s="4">
        <v>190</v>
      </c>
      <c r="L58" s="4">
        <v>168</v>
      </c>
      <c r="M58" s="19">
        <f t="shared" si="2"/>
        <v>0.13095238095238096</v>
      </c>
      <c r="N58" s="3">
        <f>E58*Q58</f>
        <v>22554</v>
      </c>
      <c r="O58" s="3">
        <f>F58*R58</f>
        <v>21463</v>
      </c>
      <c r="P58" s="19">
        <f t="shared" si="3"/>
        <v>5.0831663793505101E-2</v>
      </c>
      <c r="Q58" s="1">
        <v>126</v>
      </c>
      <c r="R58" s="1">
        <v>127</v>
      </c>
      <c r="S58" s="19">
        <f t="shared" si="4"/>
        <v>-7.874015748031496E-3</v>
      </c>
      <c r="T58" s="1">
        <v>13562</v>
      </c>
      <c r="U58" s="1">
        <v>11930</v>
      </c>
      <c r="V58" s="19">
        <f t="shared" si="5"/>
        <v>0.13679798826487846</v>
      </c>
      <c r="W58" s="1">
        <v>116</v>
      </c>
      <c r="X58" s="1">
        <v>122</v>
      </c>
      <c r="Y58" s="19">
        <f t="shared" si="6"/>
        <v>-4.9180327868852458E-2</v>
      </c>
      <c r="Z58" s="1">
        <v>4.8</v>
      </c>
      <c r="AA58" s="17">
        <f>X58/U58</f>
        <v>1.0226320201173512E-2</v>
      </c>
      <c r="AB58" s="17">
        <f>W58/T58</f>
        <v>8.553310721132577E-3</v>
      </c>
      <c r="AC58" s="17">
        <f t="shared" si="7"/>
        <v>-0.16359838604006852</v>
      </c>
      <c r="AD58" s="18">
        <f>O58/X58</f>
        <v>175.92622950819671</v>
      </c>
      <c r="AE58" s="18">
        <f>N58/W58</f>
        <v>194.43103448275863</v>
      </c>
      <c r="AF58" s="16">
        <f t="shared" si="8"/>
        <v>0.10518502571385895</v>
      </c>
      <c r="AG58">
        <f t="shared" si="9"/>
        <v>169</v>
      </c>
      <c r="AH58">
        <f t="shared" si="10"/>
        <v>179</v>
      </c>
      <c r="AI58" s="16">
        <f t="shared" si="11"/>
        <v>5.9171597633136092E-2</v>
      </c>
      <c r="AJ58" s="18">
        <f t="shared" si="12"/>
        <v>4.1707712726736466</v>
      </c>
      <c r="AK58" s="18">
        <f t="shared" si="13"/>
        <v>4.1789606035205367</v>
      </c>
      <c r="AL58" s="15">
        <f t="shared" si="14"/>
        <v>0.60126582278481011</v>
      </c>
    </row>
    <row r="59" spans="1:38" x14ac:dyDescent="0.35">
      <c r="A59" s="1" t="s">
        <v>18</v>
      </c>
      <c r="B59" s="6" t="s">
        <v>44</v>
      </c>
      <c r="C59" s="1">
        <v>18</v>
      </c>
      <c r="D59" s="1" t="s">
        <v>50</v>
      </c>
      <c r="E59" s="2">
        <v>475</v>
      </c>
      <c r="F59" s="2">
        <v>475</v>
      </c>
      <c r="G59" s="2">
        <f t="shared" si="0"/>
        <v>0</v>
      </c>
      <c r="H59" s="3">
        <f>E59*K59</f>
        <v>32775</v>
      </c>
      <c r="I59" s="3">
        <f>F59*L59</f>
        <v>31825</v>
      </c>
      <c r="J59" s="19">
        <f t="shared" si="1"/>
        <v>2.9850746268656716E-2</v>
      </c>
      <c r="K59" s="4">
        <v>69</v>
      </c>
      <c r="L59" s="4">
        <v>67</v>
      </c>
      <c r="M59" s="19">
        <f t="shared" si="2"/>
        <v>2.9850746268656716E-2</v>
      </c>
      <c r="N59" s="3">
        <f>E59*Q59</f>
        <v>61750</v>
      </c>
      <c r="O59" s="3">
        <f>F59*R59</f>
        <v>57000</v>
      </c>
      <c r="P59" s="19">
        <f t="shared" si="3"/>
        <v>8.3333333333333329E-2</v>
      </c>
      <c r="Q59" s="1">
        <v>130</v>
      </c>
      <c r="R59" s="1">
        <v>120</v>
      </c>
      <c r="S59" s="19">
        <f t="shared" si="4"/>
        <v>8.3333333333333329E-2</v>
      </c>
      <c r="T59" s="1">
        <v>11531</v>
      </c>
      <c r="U59" s="1">
        <v>11959</v>
      </c>
      <c r="V59" s="19">
        <f t="shared" si="5"/>
        <v>-3.5788945564010369E-2</v>
      </c>
      <c r="W59" s="1">
        <v>120</v>
      </c>
      <c r="X59" s="4">
        <v>98</v>
      </c>
      <c r="Y59" s="19">
        <f t="shared" si="6"/>
        <v>0.22448979591836735</v>
      </c>
      <c r="Z59" s="1">
        <v>4.5999999999999996</v>
      </c>
      <c r="AA59" s="17">
        <f>X59/U59</f>
        <v>8.1946651057780758E-3</v>
      </c>
      <c r="AB59" s="17">
        <f>W59/T59</f>
        <v>1.0406729685196427E-2</v>
      </c>
      <c r="AC59" s="17">
        <f t="shared" si="7"/>
        <v>0.26993959495167413</v>
      </c>
      <c r="AD59" s="18">
        <f>O59/X59</f>
        <v>581.63265306122446</v>
      </c>
      <c r="AE59" s="18">
        <f>N59/W59</f>
        <v>514.58333333333337</v>
      </c>
      <c r="AF59" s="16">
        <f t="shared" si="8"/>
        <v>-0.11527777777777767</v>
      </c>
      <c r="AG59">
        <f t="shared" si="9"/>
        <v>475</v>
      </c>
      <c r="AH59">
        <f t="shared" si="10"/>
        <v>475</v>
      </c>
      <c r="AI59" s="16">
        <f t="shared" si="11"/>
        <v>0</v>
      </c>
      <c r="AJ59" s="18">
        <f t="shared" si="12"/>
        <v>8.1974676957766022</v>
      </c>
      <c r="AK59" s="18">
        <f t="shared" si="13"/>
        <v>7.4274604900075261</v>
      </c>
      <c r="AL59" s="15">
        <f t="shared" si="14"/>
        <v>0.34673366834170855</v>
      </c>
    </row>
    <row r="60" spans="1:38" x14ac:dyDescent="0.35">
      <c r="A60" s="1" t="s">
        <v>18</v>
      </c>
      <c r="B60" s="6" t="s">
        <v>45</v>
      </c>
      <c r="C60" s="1">
        <v>19</v>
      </c>
      <c r="D60" s="1" t="s">
        <v>50</v>
      </c>
      <c r="E60" s="2">
        <v>180</v>
      </c>
      <c r="F60" s="2">
        <v>160</v>
      </c>
      <c r="G60" s="2">
        <f t="shared" si="0"/>
        <v>20</v>
      </c>
      <c r="H60" s="3">
        <f>E60*K60</f>
        <v>28620</v>
      </c>
      <c r="I60" s="3">
        <f>F60*L60</f>
        <v>24000</v>
      </c>
      <c r="J60" s="19">
        <f t="shared" si="1"/>
        <v>0.1925</v>
      </c>
      <c r="K60" s="4">
        <v>159</v>
      </c>
      <c r="L60" s="4">
        <v>150</v>
      </c>
      <c r="M60" s="19">
        <f t="shared" si="2"/>
        <v>0.06</v>
      </c>
      <c r="N60" s="3">
        <f>E60*Q60</f>
        <v>5220</v>
      </c>
      <c r="O60" s="3">
        <f>F60*R60</f>
        <v>4480</v>
      </c>
      <c r="P60" s="19">
        <f t="shared" si="3"/>
        <v>0.16517857142857142</v>
      </c>
      <c r="Q60" s="1">
        <v>29</v>
      </c>
      <c r="R60" s="1">
        <v>28</v>
      </c>
      <c r="S60" s="19">
        <f t="shared" si="4"/>
        <v>3.5714285714285712E-2</v>
      </c>
      <c r="T60" s="1">
        <v>2700</v>
      </c>
      <c r="U60" s="1">
        <v>2641</v>
      </c>
      <c r="V60" s="19">
        <f t="shared" si="5"/>
        <v>2.2340022718667172E-2</v>
      </c>
      <c r="W60" s="1">
        <v>25</v>
      </c>
      <c r="X60" s="4">
        <v>33.6</v>
      </c>
      <c r="Y60" s="19">
        <f t="shared" si="6"/>
        <v>-0.25595238095238099</v>
      </c>
      <c r="Z60" s="1">
        <v>4.7</v>
      </c>
      <c r="AA60" s="17">
        <f>X60/U60</f>
        <v>1.2722453616054525E-2</v>
      </c>
      <c r="AB60" s="17">
        <f>W60/T60</f>
        <v>9.2592592592592587E-3</v>
      </c>
      <c r="AC60" s="17">
        <f t="shared" si="7"/>
        <v>-0.27221119929453269</v>
      </c>
      <c r="AD60" s="18">
        <f>O60/X60</f>
        <v>133.33333333333331</v>
      </c>
      <c r="AE60" s="18">
        <f>N60/W60</f>
        <v>208.8</v>
      </c>
      <c r="AF60" s="16">
        <f t="shared" si="8"/>
        <v>0.56600000000000028</v>
      </c>
      <c r="AG60">
        <f t="shared" si="9"/>
        <v>160</v>
      </c>
      <c r="AH60">
        <f t="shared" si="10"/>
        <v>180</v>
      </c>
      <c r="AI60" s="16">
        <f t="shared" si="11"/>
        <v>0.125</v>
      </c>
      <c r="AJ60" s="18">
        <f t="shared" si="12"/>
        <v>12.533333333333333</v>
      </c>
      <c r="AK60" s="18">
        <f t="shared" si="13"/>
        <v>10.783794017417645</v>
      </c>
      <c r="AL60" s="15">
        <f t="shared" si="14"/>
        <v>0.8457446808510638</v>
      </c>
    </row>
    <row r="61" spans="1:38" x14ac:dyDescent="0.35">
      <c r="A61" s="1" t="s">
        <v>18</v>
      </c>
      <c r="B61" s="6" t="s">
        <v>46</v>
      </c>
      <c r="C61" s="1">
        <v>20</v>
      </c>
      <c r="D61" s="1" t="s">
        <v>50</v>
      </c>
      <c r="E61" s="2">
        <v>475</v>
      </c>
      <c r="F61" s="2">
        <v>475</v>
      </c>
      <c r="G61" s="2">
        <f t="shared" si="0"/>
        <v>0</v>
      </c>
      <c r="H61" s="3">
        <f>E61*K61</f>
        <v>45125</v>
      </c>
      <c r="I61" s="3">
        <f>F61*L61</f>
        <v>40850</v>
      </c>
      <c r="J61" s="19">
        <f t="shared" si="1"/>
        <v>0.10465116279069768</v>
      </c>
      <c r="K61" s="4">
        <v>95</v>
      </c>
      <c r="L61" s="4">
        <v>86</v>
      </c>
      <c r="M61" s="19">
        <f t="shared" si="2"/>
        <v>0.10465116279069768</v>
      </c>
      <c r="N61" s="3">
        <f>E61*Q61</f>
        <v>21375</v>
      </c>
      <c r="O61" s="3">
        <f>F61*R61</f>
        <v>19000</v>
      </c>
      <c r="P61" s="19">
        <f t="shared" si="3"/>
        <v>0.125</v>
      </c>
      <c r="Q61" s="1">
        <v>45</v>
      </c>
      <c r="R61" s="1">
        <v>40</v>
      </c>
      <c r="S61" s="19">
        <f t="shared" si="4"/>
        <v>0.125</v>
      </c>
      <c r="T61" s="1">
        <v>8245</v>
      </c>
      <c r="U61" s="1">
        <v>7897</v>
      </c>
      <c r="V61" s="19">
        <f t="shared" si="5"/>
        <v>4.4067367354691654E-2</v>
      </c>
      <c r="W61" s="1">
        <v>35</v>
      </c>
      <c r="X61" s="1">
        <v>35</v>
      </c>
      <c r="Y61" s="19">
        <f t="shared" si="6"/>
        <v>0</v>
      </c>
      <c r="Z61" s="5">
        <v>3.5999999999999996</v>
      </c>
      <c r="AA61" s="17">
        <f>X61/U61</f>
        <v>4.4320628086615167E-3</v>
      </c>
      <c r="AB61" s="17">
        <f>W61/T61</f>
        <v>4.2449969678593083E-3</v>
      </c>
      <c r="AC61" s="17">
        <f t="shared" si="7"/>
        <v>-4.220739842328685E-2</v>
      </c>
      <c r="AD61" s="18">
        <f>O61/X61</f>
        <v>542.85714285714289</v>
      </c>
      <c r="AE61" s="18">
        <f>N61/W61</f>
        <v>610.71428571428567</v>
      </c>
      <c r="AF61" s="16">
        <f t="shared" si="8"/>
        <v>0.12499999999999985</v>
      </c>
      <c r="AG61">
        <f t="shared" si="9"/>
        <v>475</v>
      </c>
      <c r="AH61">
        <f t="shared" si="10"/>
        <v>475</v>
      </c>
      <c r="AI61" s="16">
        <f t="shared" si="11"/>
        <v>0</v>
      </c>
      <c r="AJ61" s="18">
        <f t="shared" si="12"/>
        <v>8.0654942389326862</v>
      </c>
      <c r="AK61" s="18">
        <f t="shared" si="13"/>
        <v>7.5788274028111937</v>
      </c>
      <c r="AL61" s="15">
        <f t="shared" si="14"/>
        <v>0.6785714285714286</v>
      </c>
    </row>
    <row r="62" spans="1:38" x14ac:dyDescent="0.35">
      <c r="A62" s="1" t="s">
        <v>19</v>
      </c>
      <c r="B62" s="1" t="s">
        <v>16</v>
      </c>
      <c r="C62" s="1">
        <v>1</v>
      </c>
      <c r="D62" s="1" t="s">
        <v>48</v>
      </c>
      <c r="E62" s="2">
        <v>279</v>
      </c>
      <c r="F62" s="2">
        <v>249</v>
      </c>
      <c r="G62" s="2">
        <f t="shared" si="0"/>
        <v>30</v>
      </c>
      <c r="H62" s="3">
        <f>E62*K62</f>
        <v>26784</v>
      </c>
      <c r="I62" s="3">
        <f>F62*L62</f>
        <v>23157</v>
      </c>
      <c r="J62" s="19">
        <f t="shared" si="1"/>
        <v>0.15662650602409639</v>
      </c>
      <c r="K62" s="4">
        <v>96</v>
      </c>
      <c r="L62" s="4">
        <v>93</v>
      </c>
      <c r="M62" s="19">
        <f t="shared" si="2"/>
        <v>3.2258064516129031E-2</v>
      </c>
      <c r="N62" s="3">
        <f>E62*Q62</f>
        <v>22878</v>
      </c>
      <c r="O62" s="3">
        <f>F62*R62</f>
        <v>18924</v>
      </c>
      <c r="P62" s="19">
        <f t="shared" si="3"/>
        <v>0.20894102726696259</v>
      </c>
      <c r="Q62" s="1">
        <v>82</v>
      </c>
      <c r="R62" s="1">
        <v>76</v>
      </c>
      <c r="S62" s="19">
        <f t="shared" si="4"/>
        <v>7.8947368421052627E-2</v>
      </c>
      <c r="T62" s="1">
        <v>6043</v>
      </c>
      <c r="U62" s="1">
        <v>5797</v>
      </c>
      <c r="V62" s="19">
        <f t="shared" si="5"/>
        <v>4.2435742625495945E-2</v>
      </c>
      <c r="W62" s="1">
        <v>72</v>
      </c>
      <c r="X62" s="1">
        <v>71</v>
      </c>
      <c r="Y62" s="19">
        <f t="shared" si="6"/>
        <v>1.4084507042253521E-2</v>
      </c>
      <c r="Z62" s="1">
        <v>4</v>
      </c>
      <c r="AA62" s="17">
        <f>X62/U62</f>
        <v>1.2247714335000862E-2</v>
      </c>
      <c r="AB62" s="17">
        <f>W62/T62</f>
        <v>1.1914611947708093E-2</v>
      </c>
      <c r="AC62" s="17">
        <f t="shared" si="7"/>
        <v>-2.7197106185016653E-2</v>
      </c>
      <c r="AD62" s="18">
        <f>O62/X62</f>
        <v>266.53521126760563</v>
      </c>
      <c r="AE62" s="18">
        <f>N62/W62</f>
        <v>317.75</v>
      </c>
      <c r="AF62" s="16">
        <f t="shared" si="8"/>
        <v>0.19215017966603257</v>
      </c>
      <c r="AG62">
        <f t="shared" si="9"/>
        <v>249</v>
      </c>
      <c r="AH62">
        <f t="shared" si="10"/>
        <v>279</v>
      </c>
      <c r="AI62" s="16">
        <f t="shared" si="11"/>
        <v>0.12048192771084337</v>
      </c>
      <c r="AJ62" s="18">
        <f t="shared" si="12"/>
        <v>8.2181035909316567</v>
      </c>
      <c r="AK62" s="18">
        <f t="shared" si="13"/>
        <v>7.2590995342418489</v>
      </c>
      <c r="AL62" s="15">
        <f t="shared" si="14"/>
        <v>0.5393258426966292</v>
      </c>
    </row>
    <row r="63" spans="1:38" x14ac:dyDescent="0.35">
      <c r="A63" s="1" t="s">
        <v>19</v>
      </c>
      <c r="B63" s="6" t="s">
        <v>28</v>
      </c>
      <c r="C63" s="1">
        <v>2</v>
      </c>
      <c r="D63" s="1" t="s">
        <v>48</v>
      </c>
      <c r="E63" s="2">
        <v>354</v>
      </c>
      <c r="F63" s="2">
        <v>354</v>
      </c>
      <c r="G63" s="2">
        <f t="shared" si="0"/>
        <v>0</v>
      </c>
      <c r="H63" s="3">
        <f>E63*K63</f>
        <v>69738</v>
      </c>
      <c r="I63" s="3">
        <f>F63*L63</f>
        <v>65844</v>
      </c>
      <c r="J63" s="19">
        <f t="shared" si="1"/>
        <v>5.9139784946236562E-2</v>
      </c>
      <c r="K63" s="4">
        <v>197</v>
      </c>
      <c r="L63" s="4">
        <v>186</v>
      </c>
      <c r="M63" s="19">
        <f t="shared" si="2"/>
        <v>5.9139784946236562E-2</v>
      </c>
      <c r="N63" s="3">
        <f>E63*Q63</f>
        <v>35400</v>
      </c>
      <c r="O63" s="3">
        <f>F63*R63</f>
        <v>35400</v>
      </c>
      <c r="P63" s="19">
        <f t="shared" si="3"/>
        <v>0</v>
      </c>
      <c r="Q63" s="1">
        <v>100</v>
      </c>
      <c r="R63" s="1">
        <v>100</v>
      </c>
      <c r="S63" s="19">
        <f t="shared" si="4"/>
        <v>0</v>
      </c>
      <c r="T63" s="1">
        <v>3717</v>
      </c>
      <c r="U63" s="1">
        <v>3791</v>
      </c>
      <c r="V63" s="19">
        <f t="shared" si="5"/>
        <v>-1.9519915589554206E-2</v>
      </c>
      <c r="W63" s="1">
        <v>90</v>
      </c>
      <c r="X63" s="1">
        <v>95</v>
      </c>
      <c r="Y63" s="19">
        <f t="shared" si="6"/>
        <v>-5.2631578947368418E-2</v>
      </c>
      <c r="Z63" s="5">
        <v>3.0999999999999996</v>
      </c>
      <c r="AA63" s="17">
        <f>X63/U63</f>
        <v>2.5059351094697969E-2</v>
      </c>
      <c r="AB63" s="17">
        <f>W63/T63</f>
        <v>2.4213075060532687E-2</v>
      </c>
      <c r="AC63" s="17">
        <f t="shared" si="7"/>
        <v>-3.3770867847585082E-2</v>
      </c>
      <c r="AD63" s="18">
        <f>O63/X63</f>
        <v>372.63157894736844</v>
      </c>
      <c r="AE63" s="18">
        <f>N63/W63</f>
        <v>393.33333333333331</v>
      </c>
      <c r="AF63" s="16">
        <f t="shared" si="8"/>
        <v>5.5555555555555455E-2</v>
      </c>
      <c r="AG63">
        <f t="shared" si="9"/>
        <v>354</v>
      </c>
      <c r="AH63">
        <f t="shared" si="10"/>
        <v>354</v>
      </c>
      <c r="AI63" s="16">
        <f t="shared" si="11"/>
        <v>0</v>
      </c>
      <c r="AJ63" s="18">
        <f t="shared" si="12"/>
        <v>28.285714285714285</v>
      </c>
      <c r="AK63" s="18">
        <f t="shared" si="13"/>
        <v>26.706409918227379</v>
      </c>
      <c r="AL63" s="15">
        <f t="shared" si="14"/>
        <v>0.66329966329966328</v>
      </c>
    </row>
    <row r="64" spans="1:38" x14ac:dyDescent="0.35">
      <c r="A64" s="1" t="s">
        <v>19</v>
      </c>
      <c r="B64" s="6" t="s">
        <v>29</v>
      </c>
      <c r="C64" s="1">
        <v>3</v>
      </c>
      <c r="D64" s="1" t="s">
        <v>48</v>
      </c>
      <c r="E64" s="2">
        <v>198</v>
      </c>
      <c r="F64" s="2">
        <v>198</v>
      </c>
      <c r="G64" s="2">
        <f t="shared" si="0"/>
        <v>0</v>
      </c>
      <c r="H64" s="3">
        <f>E64*K64</f>
        <v>19998</v>
      </c>
      <c r="I64" s="3">
        <f>F64*L64</f>
        <v>19404</v>
      </c>
      <c r="J64" s="19">
        <f t="shared" si="1"/>
        <v>3.0612244897959183E-2</v>
      </c>
      <c r="K64" s="4">
        <v>101</v>
      </c>
      <c r="L64" s="4">
        <v>98</v>
      </c>
      <c r="M64" s="19">
        <f t="shared" si="2"/>
        <v>3.0612244897959183E-2</v>
      </c>
      <c r="N64" s="3">
        <f>E64*Q64</f>
        <v>9306</v>
      </c>
      <c r="O64" s="3">
        <f>F64*R64</f>
        <v>9504</v>
      </c>
      <c r="P64" s="19">
        <f t="shared" si="3"/>
        <v>-2.0833333333333332E-2</v>
      </c>
      <c r="Q64" s="1">
        <v>47</v>
      </c>
      <c r="R64" s="1">
        <v>48</v>
      </c>
      <c r="S64" s="19">
        <f t="shared" si="4"/>
        <v>-2.0833333333333332E-2</v>
      </c>
      <c r="T64" s="1">
        <v>9498</v>
      </c>
      <c r="U64" s="1">
        <v>8430</v>
      </c>
      <c r="V64" s="19">
        <f t="shared" si="5"/>
        <v>0.12669039145907474</v>
      </c>
      <c r="W64" s="1">
        <v>37</v>
      </c>
      <c r="X64" s="1">
        <v>43</v>
      </c>
      <c r="Y64" s="19">
        <f t="shared" si="6"/>
        <v>-0.13953488372093023</v>
      </c>
      <c r="Z64" s="5">
        <v>3.9000000000000004</v>
      </c>
      <c r="AA64" s="17">
        <f>X64/U64</f>
        <v>5.100830367734282E-3</v>
      </c>
      <c r="AB64" s="17">
        <f>W64/T64</f>
        <v>3.8955569593598651E-3</v>
      </c>
      <c r="AC64" s="17">
        <f t="shared" si="7"/>
        <v>-0.23628964726968221</v>
      </c>
      <c r="AD64" s="18">
        <f>O64/X64</f>
        <v>221.02325581395348</v>
      </c>
      <c r="AE64" s="18">
        <f>N64/W64</f>
        <v>251.51351351351352</v>
      </c>
      <c r="AF64" s="16">
        <f t="shared" si="8"/>
        <v>0.13795045045045048</v>
      </c>
      <c r="AG64">
        <f t="shared" si="9"/>
        <v>198</v>
      </c>
      <c r="AH64">
        <f t="shared" si="10"/>
        <v>198</v>
      </c>
      <c r="AI64" s="16">
        <f t="shared" si="11"/>
        <v>0</v>
      </c>
      <c r="AJ64" s="18">
        <f t="shared" si="12"/>
        <v>3.0852811118130132</v>
      </c>
      <c r="AK64" s="18">
        <f t="shared" si="13"/>
        <v>3.4291814946619219</v>
      </c>
      <c r="AL64" s="15">
        <f t="shared" si="14"/>
        <v>0.68243243243243246</v>
      </c>
    </row>
    <row r="65" spans="1:38" x14ac:dyDescent="0.35">
      <c r="A65" s="1" t="s">
        <v>19</v>
      </c>
      <c r="B65" s="6" t="s">
        <v>30</v>
      </c>
      <c r="C65" s="1">
        <v>4</v>
      </c>
      <c r="D65" s="1" t="s">
        <v>48</v>
      </c>
      <c r="E65" s="2">
        <v>150</v>
      </c>
      <c r="F65" s="2">
        <v>149</v>
      </c>
      <c r="G65" s="2">
        <f t="shared" si="0"/>
        <v>1</v>
      </c>
      <c r="H65" s="3">
        <f>E65*K65</f>
        <v>25950</v>
      </c>
      <c r="I65" s="3">
        <f>F65*L65</f>
        <v>23691</v>
      </c>
      <c r="J65" s="19">
        <f t="shared" si="1"/>
        <v>9.5352665569203493E-2</v>
      </c>
      <c r="K65" s="4">
        <v>173</v>
      </c>
      <c r="L65" s="4">
        <v>159</v>
      </c>
      <c r="M65" s="19">
        <f t="shared" si="2"/>
        <v>8.8050314465408799E-2</v>
      </c>
      <c r="N65" s="3">
        <f>E65*Q65</f>
        <v>7950</v>
      </c>
      <c r="O65" s="3">
        <f>F65*R65</f>
        <v>7003</v>
      </c>
      <c r="P65" s="19">
        <f t="shared" si="3"/>
        <v>0.1352277595316293</v>
      </c>
      <c r="Q65" s="1">
        <v>53</v>
      </c>
      <c r="R65" s="1">
        <v>47</v>
      </c>
      <c r="S65" s="19">
        <f t="shared" si="4"/>
        <v>0.1276595744680851</v>
      </c>
      <c r="T65" s="1">
        <v>9120</v>
      </c>
      <c r="U65" s="1">
        <v>8060</v>
      </c>
      <c r="V65" s="19">
        <f t="shared" si="5"/>
        <v>0.13151364764267989</v>
      </c>
      <c r="W65" s="1">
        <v>43</v>
      </c>
      <c r="X65" s="1">
        <v>42</v>
      </c>
      <c r="Y65" s="19">
        <f t="shared" si="6"/>
        <v>2.3809523809523808E-2</v>
      </c>
      <c r="Z65" s="5">
        <v>2.8</v>
      </c>
      <c r="AA65" s="17">
        <f>X65/U65</f>
        <v>5.210918114143921E-3</v>
      </c>
      <c r="AB65" s="17">
        <f>W65/T65</f>
        <v>4.7149122807017543E-3</v>
      </c>
      <c r="AC65" s="17">
        <f t="shared" si="7"/>
        <v>-9.5185881370091985E-2</v>
      </c>
      <c r="AD65" s="18">
        <f>O65/X65</f>
        <v>166.73809523809524</v>
      </c>
      <c r="AE65" s="18">
        <f>N65/W65</f>
        <v>184.88372093023256</v>
      </c>
      <c r="AF65" s="16">
        <f t="shared" si="8"/>
        <v>0.10882711396112627</v>
      </c>
      <c r="AG65">
        <f t="shared" si="9"/>
        <v>149</v>
      </c>
      <c r="AH65">
        <f t="shared" si="10"/>
        <v>150</v>
      </c>
      <c r="AI65" s="16">
        <f t="shared" si="11"/>
        <v>6.7114093959731542E-3</v>
      </c>
      <c r="AJ65" s="18">
        <f t="shared" si="12"/>
        <v>3.7171052631578947</v>
      </c>
      <c r="AK65" s="18">
        <f t="shared" si="13"/>
        <v>3.8081885856079403</v>
      </c>
      <c r="AL65" s="15">
        <f t="shared" si="14"/>
        <v>0.76548672566371678</v>
      </c>
    </row>
    <row r="66" spans="1:38" x14ac:dyDescent="0.35">
      <c r="A66" s="1" t="s">
        <v>19</v>
      </c>
      <c r="B66" s="6" t="s">
        <v>31</v>
      </c>
      <c r="C66" s="1">
        <v>5</v>
      </c>
      <c r="D66" s="1" t="s">
        <v>48</v>
      </c>
      <c r="E66" s="2">
        <v>506</v>
      </c>
      <c r="F66" s="2">
        <v>499.9</v>
      </c>
      <c r="G66" s="2">
        <f t="shared" si="0"/>
        <v>6.1000000000000227</v>
      </c>
      <c r="H66" s="3">
        <f>E66*K66</f>
        <v>91080</v>
      </c>
      <c r="I66" s="3">
        <f>F66*L66</f>
        <v>90981.8</v>
      </c>
      <c r="J66" s="19">
        <f t="shared" si="1"/>
        <v>1.0793367464701411E-3</v>
      </c>
      <c r="K66" s="4">
        <v>180</v>
      </c>
      <c r="L66" s="4">
        <v>182</v>
      </c>
      <c r="M66" s="19">
        <f t="shared" si="2"/>
        <v>-1.098901098901099E-2</v>
      </c>
      <c r="N66" s="3">
        <f>E66*Q66</f>
        <v>12144</v>
      </c>
      <c r="O66" s="3">
        <f>F66*R66</f>
        <v>10997.8</v>
      </c>
      <c r="P66" s="19">
        <f t="shared" si="3"/>
        <v>0.10422084416883384</v>
      </c>
      <c r="Q66" s="1">
        <v>24</v>
      </c>
      <c r="R66" s="1">
        <v>22</v>
      </c>
      <c r="S66" s="19">
        <f t="shared" si="4"/>
        <v>9.0909090909090912E-2</v>
      </c>
      <c r="T66" s="1">
        <v>9411</v>
      </c>
      <c r="U66" s="1">
        <v>9573</v>
      </c>
      <c r="V66" s="19">
        <f t="shared" si="5"/>
        <v>-1.6922594797869006E-2</v>
      </c>
      <c r="W66" s="1">
        <v>28</v>
      </c>
      <c r="X66" s="1">
        <v>24</v>
      </c>
      <c r="Y66" s="19">
        <f t="shared" si="6"/>
        <v>0.16666666666666666</v>
      </c>
      <c r="Z66" s="5">
        <v>2.5999999999999996</v>
      </c>
      <c r="AA66" s="17">
        <f>X66/U66</f>
        <v>2.5070510811657787E-3</v>
      </c>
      <c r="AB66" s="17">
        <f>W66/T66</f>
        <v>2.9752417383912444E-3</v>
      </c>
      <c r="AC66" s="17">
        <f t="shared" si="7"/>
        <v>0.18674954840080765</v>
      </c>
      <c r="AD66" s="18">
        <f>O66/X66</f>
        <v>458.24166666666662</v>
      </c>
      <c r="AE66" s="18">
        <f>N66/W66</f>
        <v>433.71428571428572</v>
      </c>
      <c r="AF66" s="16">
        <f t="shared" si="8"/>
        <v>-5.3524990712428083E-2</v>
      </c>
      <c r="AG66">
        <f t="shared" si="9"/>
        <v>499.90000000000003</v>
      </c>
      <c r="AH66">
        <f t="shared" si="10"/>
        <v>506</v>
      </c>
      <c r="AI66" s="16">
        <f t="shared" si="11"/>
        <v>1.220244048809755E-2</v>
      </c>
      <c r="AJ66" s="18">
        <f t="shared" si="12"/>
        <v>10.96844118584635</v>
      </c>
      <c r="AK66" s="18">
        <f t="shared" si="13"/>
        <v>10.65283610153557</v>
      </c>
      <c r="AL66" s="15">
        <f t="shared" si="14"/>
        <v>0.88235294117647056</v>
      </c>
    </row>
    <row r="67" spans="1:38" x14ac:dyDescent="0.35">
      <c r="A67" s="1" t="s">
        <v>19</v>
      </c>
      <c r="B67" s="6" t="s">
        <v>32</v>
      </c>
      <c r="C67" s="1">
        <v>6</v>
      </c>
      <c r="D67" s="1" t="s">
        <v>48</v>
      </c>
      <c r="E67" s="2">
        <v>421</v>
      </c>
      <c r="F67" s="2">
        <v>399</v>
      </c>
      <c r="G67" s="2">
        <f t="shared" ref="G67:G130" si="15">E67-F67</f>
        <v>22</v>
      </c>
      <c r="H67" s="3">
        <f>E67*K67</f>
        <v>49257</v>
      </c>
      <c r="I67" s="3">
        <f>F67*L67</f>
        <v>43491</v>
      </c>
      <c r="J67" s="19">
        <f t="shared" ref="J67:J130" si="16">(H67-I67)/I67</f>
        <v>0.13257915430778783</v>
      </c>
      <c r="K67" s="4">
        <v>117</v>
      </c>
      <c r="L67" s="4">
        <v>109</v>
      </c>
      <c r="M67" s="19">
        <f t="shared" ref="M67:M130" si="17">(K67-L67)/L67</f>
        <v>7.3394495412844041E-2</v>
      </c>
      <c r="N67" s="3">
        <f>E67*Q67</f>
        <v>52625</v>
      </c>
      <c r="O67" s="3">
        <f>F67*R67</f>
        <v>51072</v>
      </c>
      <c r="P67" s="19">
        <f t="shared" ref="P67:P130" si="18">(N67-O67)/O67</f>
        <v>3.0408051378446117E-2</v>
      </c>
      <c r="Q67" s="1">
        <v>125</v>
      </c>
      <c r="R67" s="1">
        <v>128</v>
      </c>
      <c r="S67" s="19">
        <f t="shared" ref="S67:S130" si="19">(Q67-R67)/R67</f>
        <v>-2.34375E-2</v>
      </c>
      <c r="T67" s="1">
        <v>5187</v>
      </c>
      <c r="U67" s="1">
        <v>4966</v>
      </c>
      <c r="V67" s="19">
        <f t="shared" ref="V67:V130" si="20">(T67-U67)/U67</f>
        <v>4.4502617801047119E-2</v>
      </c>
      <c r="W67" s="1">
        <v>115</v>
      </c>
      <c r="X67" s="4">
        <v>103.6</v>
      </c>
      <c r="Y67" s="19">
        <f t="shared" ref="Y67:Y130" si="21">(W67-X67)/X67</f>
        <v>0.1100386100386101</v>
      </c>
      <c r="Z67" s="1">
        <v>4.5</v>
      </c>
      <c r="AA67" s="17">
        <f>X67/U67</f>
        <v>2.0861860652436566E-2</v>
      </c>
      <c r="AB67" s="17">
        <f>W67/T67</f>
        <v>2.2170811644495855E-2</v>
      </c>
      <c r="AC67" s="17">
        <f t="shared" ref="AC67:AC130" si="22">(AB67-AA67)/AA67</f>
        <v>6.2743731916664366E-2</v>
      </c>
      <c r="AD67" s="18">
        <f>O67/X67</f>
        <v>492.97297297297303</v>
      </c>
      <c r="AE67" s="18">
        <f>N67/W67</f>
        <v>457.60869565217394</v>
      </c>
      <c r="AF67" s="16">
        <f t="shared" ref="AF67:AF130" si="23">(AE67-AD67)/AD67</f>
        <v>-7.1736746758199896E-2</v>
      </c>
      <c r="AG67">
        <f t="shared" ref="AG67:AG130" si="24">I67/L67</f>
        <v>399</v>
      </c>
      <c r="AH67">
        <f t="shared" ref="AH67:AH130" si="25">H67/K67</f>
        <v>421</v>
      </c>
      <c r="AI67" s="16">
        <f t="shared" ref="AI67:AI130" si="26">(AH67-AG67)/AG67</f>
        <v>5.5137844611528819E-2</v>
      </c>
      <c r="AJ67" s="18">
        <f t="shared" ref="AJ67:AJ130" si="27">(H67+N67)/T67</f>
        <v>19.641796799691537</v>
      </c>
      <c r="AK67" s="18">
        <f t="shared" ref="AK67:AK130" si="28">(O67+I67)/U67</f>
        <v>19.042086186065244</v>
      </c>
      <c r="AL67" s="15">
        <f t="shared" ref="AL67:AL130" si="29">H67/(H67+N67)</f>
        <v>0.48347107438016529</v>
      </c>
    </row>
    <row r="68" spans="1:38" x14ac:dyDescent="0.35">
      <c r="A68" s="1" t="s">
        <v>19</v>
      </c>
      <c r="B68" s="6" t="s">
        <v>33</v>
      </c>
      <c r="C68" s="1">
        <v>7</v>
      </c>
      <c r="D68" s="1" t="s">
        <v>48</v>
      </c>
      <c r="E68" s="2">
        <v>419</v>
      </c>
      <c r="F68" s="2">
        <v>419</v>
      </c>
      <c r="G68" s="2">
        <f t="shared" si="15"/>
        <v>0</v>
      </c>
      <c r="H68" s="3">
        <f>E68*K68</f>
        <v>51956</v>
      </c>
      <c r="I68" s="3">
        <f>F68*L68</f>
        <v>52375</v>
      </c>
      <c r="J68" s="19">
        <f t="shared" si="16"/>
        <v>-8.0000000000000002E-3</v>
      </c>
      <c r="K68" s="4">
        <v>124</v>
      </c>
      <c r="L68" s="4">
        <v>125</v>
      </c>
      <c r="M68" s="19">
        <f t="shared" si="17"/>
        <v>-8.0000000000000002E-3</v>
      </c>
      <c r="N68" s="3">
        <f>E68*Q68</f>
        <v>34777</v>
      </c>
      <c r="O68" s="3">
        <f>F68*R68</f>
        <v>32263</v>
      </c>
      <c r="P68" s="19">
        <f t="shared" si="18"/>
        <v>7.792207792207792E-2</v>
      </c>
      <c r="Q68" s="1">
        <v>83</v>
      </c>
      <c r="R68" s="1">
        <v>77</v>
      </c>
      <c r="S68" s="19">
        <f t="shared" si="19"/>
        <v>7.792207792207792E-2</v>
      </c>
      <c r="T68" s="1">
        <v>10817</v>
      </c>
      <c r="U68" s="1">
        <v>9086</v>
      </c>
      <c r="V68" s="19">
        <f t="shared" si="20"/>
        <v>0.19051287695355493</v>
      </c>
      <c r="W68" s="1">
        <v>73</v>
      </c>
      <c r="X68" s="4">
        <v>67.900000000000006</v>
      </c>
      <c r="Y68" s="19">
        <f t="shared" si="21"/>
        <v>7.5110456553755436E-2</v>
      </c>
      <c r="Z68" s="5">
        <v>3.9000000000000004</v>
      </c>
      <c r="AA68" s="17">
        <f>X68/U68</f>
        <v>7.4730354391371349E-3</v>
      </c>
      <c r="AB68" s="17">
        <f>W68/T68</f>
        <v>6.7486364056577606E-3</v>
      </c>
      <c r="AC68" s="17">
        <f t="shared" si="22"/>
        <v>-9.6935045923322458E-2</v>
      </c>
      <c r="AD68" s="18">
        <f>O68/X68</f>
        <v>475.15463917525767</v>
      </c>
      <c r="AE68" s="18">
        <f>N68/W68</f>
        <v>476.39726027397262</v>
      </c>
      <c r="AF68" s="16">
        <f t="shared" si="23"/>
        <v>2.6151930261520948E-3</v>
      </c>
      <c r="AG68">
        <f t="shared" si="24"/>
        <v>419</v>
      </c>
      <c r="AH68">
        <f t="shared" si="25"/>
        <v>419</v>
      </c>
      <c r="AI68" s="16">
        <f t="shared" si="26"/>
        <v>0</v>
      </c>
      <c r="AJ68" s="18">
        <f t="shared" si="27"/>
        <v>8.0182120735878701</v>
      </c>
      <c r="AK68" s="18">
        <f t="shared" si="28"/>
        <v>9.3152102135152983</v>
      </c>
      <c r="AL68" s="15">
        <f t="shared" si="29"/>
        <v>0.59903381642512077</v>
      </c>
    </row>
    <row r="69" spans="1:38" x14ac:dyDescent="0.35">
      <c r="A69" s="1" t="s">
        <v>19</v>
      </c>
      <c r="B69" s="6" t="s">
        <v>34</v>
      </c>
      <c r="C69" s="1">
        <v>8</v>
      </c>
      <c r="D69" s="1" t="s">
        <v>49</v>
      </c>
      <c r="E69" s="2">
        <v>175</v>
      </c>
      <c r="F69" s="2">
        <v>169.9</v>
      </c>
      <c r="G69" s="2">
        <f t="shared" si="15"/>
        <v>5.0999999999999943</v>
      </c>
      <c r="H69" s="3">
        <f>E69*K69</f>
        <v>30275</v>
      </c>
      <c r="I69" s="3">
        <f>F69*L69</f>
        <v>28203.4</v>
      </c>
      <c r="J69" s="19">
        <f t="shared" si="16"/>
        <v>7.3452136976392857E-2</v>
      </c>
      <c r="K69" s="4">
        <v>173</v>
      </c>
      <c r="L69" s="4">
        <v>166</v>
      </c>
      <c r="M69" s="19">
        <f t="shared" si="17"/>
        <v>4.2168674698795178E-2</v>
      </c>
      <c r="N69" s="3">
        <f>E69*Q69</f>
        <v>14875</v>
      </c>
      <c r="O69" s="3">
        <f>F69*R69</f>
        <v>12742.5</v>
      </c>
      <c r="P69" s="19">
        <f t="shared" si="18"/>
        <v>0.16735334510496369</v>
      </c>
      <c r="Q69" s="1">
        <v>85</v>
      </c>
      <c r="R69" s="1">
        <v>75</v>
      </c>
      <c r="S69" s="19">
        <f t="shared" si="19"/>
        <v>0.13333333333333333</v>
      </c>
      <c r="T69" s="1">
        <v>10064</v>
      </c>
      <c r="U69" s="1">
        <v>10287</v>
      </c>
      <c r="V69" s="19">
        <f t="shared" si="20"/>
        <v>-2.1677845824827451E-2</v>
      </c>
      <c r="W69" s="1">
        <v>75</v>
      </c>
      <c r="X69" s="1">
        <v>70</v>
      </c>
      <c r="Y69" s="19">
        <f t="shared" si="21"/>
        <v>7.1428571428571425E-2</v>
      </c>
      <c r="Z69" s="1">
        <v>4.8</v>
      </c>
      <c r="AA69" s="17">
        <f>X69/U69</f>
        <v>6.8047049674346263E-3</v>
      </c>
      <c r="AB69" s="17">
        <f>W69/T69</f>
        <v>7.4523052464228936E-3</v>
      </c>
      <c r="AC69" s="17">
        <f t="shared" si="22"/>
        <v>9.5169486713604368E-2</v>
      </c>
      <c r="AD69" s="18">
        <f>O69/X69</f>
        <v>182.03571428571428</v>
      </c>
      <c r="AE69" s="18">
        <f>N69/W69</f>
        <v>198.33333333333334</v>
      </c>
      <c r="AF69" s="16">
        <f t="shared" si="23"/>
        <v>8.9529788764632898E-2</v>
      </c>
      <c r="AG69">
        <f t="shared" si="24"/>
        <v>169.9</v>
      </c>
      <c r="AH69">
        <f t="shared" si="25"/>
        <v>175</v>
      </c>
      <c r="AI69" s="16">
        <f t="shared" si="26"/>
        <v>3.0017657445556175E-2</v>
      </c>
      <c r="AJ69" s="18">
        <f t="shared" si="27"/>
        <v>4.4862877583465819</v>
      </c>
      <c r="AK69" s="18">
        <f t="shared" si="28"/>
        <v>3.9803538446583069</v>
      </c>
      <c r="AL69" s="15">
        <f t="shared" si="29"/>
        <v>0.6705426356589147</v>
      </c>
    </row>
    <row r="70" spans="1:38" x14ac:dyDescent="0.35">
      <c r="A70" s="1" t="s">
        <v>19</v>
      </c>
      <c r="B70" s="6" t="s">
        <v>35</v>
      </c>
      <c r="C70" s="1">
        <v>9</v>
      </c>
      <c r="D70" s="1" t="s">
        <v>49</v>
      </c>
      <c r="E70" s="2">
        <v>139</v>
      </c>
      <c r="F70" s="2">
        <v>119</v>
      </c>
      <c r="G70" s="2">
        <f t="shared" si="15"/>
        <v>20</v>
      </c>
      <c r="H70" s="3">
        <f>E70*K70</f>
        <v>25993</v>
      </c>
      <c r="I70" s="3">
        <f>F70*L70</f>
        <v>20349</v>
      </c>
      <c r="J70" s="19">
        <f t="shared" si="16"/>
        <v>0.27736006683375103</v>
      </c>
      <c r="K70" s="4">
        <v>187</v>
      </c>
      <c r="L70" s="4">
        <v>171</v>
      </c>
      <c r="M70" s="19">
        <f t="shared" si="17"/>
        <v>9.3567251461988299E-2</v>
      </c>
      <c r="N70" s="3">
        <f>E70*Q70</f>
        <v>12927</v>
      </c>
      <c r="O70" s="3">
        <f>F70*R70</f>
        <v>10353</v>
      </c>
      <c r="P70" s="19">
        <f t="shared" si="18"/>
        <v>0.24862358736598086</v>
      </c>
      <c r="Q70" s="1">
        <v>93</v>
      </c>
      <c r="R70" s="1">
        <v>87</v>
      </c>
      <c r="S70" s="19">
        <f t="shared" si="19"/>
        <v>6.8965517241379309E-2</v>
      </c>
      <c r="T70" s="1">
        <v>6425</v>
      </c>
      <c r="U70" s="1">
        <v>5625</v>
      </c>
      <c r="V70" s="19">
        <f t="shared" si="20"/>
        <v>0.14222222222222222</v>
      </c>
      <c r="W70" s="1">
        <v>83</v>
      </c>
      <c r="X70" s="4">
        <v>70.62</v>
      </c>
      <c r="Y70" s="19">
        <f t="shared" si="21"/>
        <v>0.17530444633248363</v>
      </c>
      <c r="Z70" s="5">
        <v>2.5</v>
      </c>
      <c r="AA70" s="17">
        <f>X70/U70</f>
        <v>1.2554666666666667E-2</v>
      </c>
      <c r="AB70" s="17">
        <f>W70/T70</f>
        <v>1.2918287937743191E-2</v>
      </c>
      <c r="AC70" s="17">
        <f t="shared" si="22"/>
        <v>2.8963036672407908E-2</v>
      </c>
      <c r="AD70" s="18">
        <f>O70/X70</f>
        <v>146.60152931180968</v>
      </c>
      <c r="AE70" s="18">
        <f>N70/W70</f>
        <v>155.74698795180723</v>
      </c>
      <c r="AF70" s="16">
        <f t="shared" si="23"/>
        <v>6.2383105298621316E-2</v>
      </c>
      <c r="AG70">
        <f t="shared" si="24"/>
        <v>119</v>
      </c>
      <c r="AH70">
        <f t="shared" si="25"/>
        <v>139</v>
      </c>
      <c r="AI70" s="16">
        <f t="shared" si="26"/>
        <v>0.16806722689075632</v>
      </c>
      <c r="AJ70" s="18">
        <f t="shared" si="27"/>
        <v>6.0575875486381321</v>
      </c>
      <c r="AK70" s="18">
        <f t="shared" si="28"/>
        <v>5.4581333333333335</v>
      </c>
      <c r="AL70" s="15">
        <f t="shared" si="29"/>
        <v>0.66785714285714282</v>
      </c>
    </row>
    <row r="71" spans="1:38" x14ac:dyDescent="0.35">
      <c r="A71" s="1" t="s">
        <v>19</v>
      </c>
      <c r="B71" s="6" t="s">
        <v>36</v>
      </c>
      <c r="C71" s="1">
        <v>10</v>
      </c>
      <c r="D71" s="1" t="s">
        <v>49</v>
      </c>
      <c r="E71" s="2">
        <v>79</v>
      </c>
      <c r="F71" s="2">
        <v>79</v>
      </c>
      <c r="G71" s="2">
        <f t="shared" si="15"/>
        <v>0</v>
      </c>
      <c r="H71" s="3">
        <f>E71*K71</f>
        <v>8690</v>
      </c>
      <c r="I71" s="3">
        <f>F71*L71</f>
        <v>8769</v>
      </c>
      <c r="J71" s="19">
        <f t="shared" si="16"/>
        <v>-9.0090090090090089E-3</v>
      </c>
      <c r="K71" s="4">
        <v>110</v>
      </c>
      <c r="L71" s="4">
        <v>111</v>
      </c>
      <c r="M71" s="19">
        <f t="shared" si="17"/>
        <v>-9.0090090090090089E-3</v>
      </c>
      <c r="N71" s="3">
        <f>E71*Q71</f>
        <v>6241</v>
      </c>
      <c r="O71" s="3">
        <f>F71*R71</f>
        <v>5846</v>
      </c>
      <c r="P71" s="19">
        <f t="shared" si="18"/>
        <v>6.7567567567567571E-2</v>
      </c>
      <c r="Q71" s="1">
        <v>79</v>
      </c>
      <c r="R71" s="1">
        <v>74</v>
      </c>
      <c r="S71" s="19">
        <f t="shared" si="19"/>
        <v>6.7567567567567571E-2</v>
      </c>
      <c r="T71" s="1">
        <v>4726</v>
      </c>
      <c r="U71" s="1">
        <v>4592</v>
      </c>
      <c r="V71" s="19">
        <f t="shared" si="20"/>
        <v>2.9181184668989547E-2</v>
      </c>
      <c r="W71" s="1">
        <v>69</v>
      </c>
      <c r="X71" s="1">
        <v>69</v>
      </c>
      <c r="Y71" s="19">
        <f t="shared" si="21"/>
        <v>0</v>
      </c>
      <c r="Z71" s="5">
        <v>2.4000000000000004</v>
      </c>
      <c r="AA71" s="17">
        <f>X71/U71</f>
        <v>1.5026132404181184E-2</v>
      </c>
      <c r="AB71" s="17">
        <f>W71/T71</f>
        <v>1.4600084638171815E-2</v>
      </c>
      <c r="AC71" s="17">
        <f t="shared" si="22"/>
        <v>-2.8353787558188754E-2</v>
      </c>
      <c r="AD71" s="18">
        <f>O71/X71</f>
        <v>84.724637681159422</v>
      </c>
      <c r="AE71" s="18">
        <f>N71/W71</f>
        <v>90.449275362318843</v>
      </c>
      <c r="AF71" s="16">
        <f t="shared" si="23"/>
        <v>6.7567567567567585E-2</v>
      </c>
      <c r="AG71">
        <f t="shared" si="24"/>
        <v>79</v>
      </c>
      <c r="AH71">
        <f t="shared" si="25"/>
        <v>79</v>
      </c>
      <c r="AI71" s="16">
        <f t="shared" si="26"/>
        <v>0</v>
      </c>
      <c r="AJ71" s="18">
        <f t="shared" si="27"/>
        <v>3.1593313584426577</v>
      </c>
      <c r="AK71" s="18">
        <f t="shared" si="28"/>
        <v>3.1827090592334493</v>
      </c>
      <c r="AL71" s="15">
        <f t="shared" si="29"/>
        <v>0.58201058201058198</v>
      </c>
    </row>
    <row r="72" spans="1:38" x14ac:dyDescent="0.35">
      <c r="A72" s="1" t="s">
        <v>19</v>
      </c>
      <c r="B72" s="6" t="s">
        <v>37</v>
      </c>
      <c r="C72" s="1">
        <v>11</v>
      </c>
      <c r="D72" s="1" t="s">
        <v>49</v>
      </c>
      <c r="E72" s="2">
        <v>149</v>
      </c>
      <c r="F72" s="2">
        <v>149</v>
      </c>
      <c r="G72" s="2">
        <f t="shared" si="15"/>
        <v>0</v>
      </c>
      <c r="H72" s="3">
        <f>E72*K72</f>
        <v>30545</v>
      </c>
      <c r="I72" s="3">
        <f>F72*L72</f>
        <v>30247</v>
      </c>
      <c r="J72" s="19">
        <f t="shared" si="16"/>
        <v>9.852216748768473E-3</v>
      </c>
      <c r="K72" s="4">
        <v>205</v>
      </c>
      <c r="L72" s="4">
        <v>203</v>
      </c>
      <c r="M72" s="19">
        <f t="shared" si="17"/>
        <v>9.852216748768473E-3</v>
      </c>
      <c r="N72" s="3">
        <f>E72*Q72</f>
        <v>10579</v>
      </c>
      <c r="O72" s="3">
        <f>F72*R72</f>
        <v>10281</v>
      </c>
      <c r="P72" s="19">
        <f t="shared" si="18"/>
        <v>2.8985507246376812E-2</v>
      </c>
      <c r="Q72" s="1">
        <v>71</v>
      </c>
      <c r="R72" s="1">
        <v>69</v>
      </c>
      <c r="S72" s="19">
        <f t="shared" si="19"/>
        <v>2.8985507246376812E-2</v>
      </c>
      <c r="T72" s="1">
        <v>14148</v>
      </c>
      <c r="U72" s="1">
        <v>12674</v>
      </c>
      <c r="V72" s="19">
        <f t="shared" si="20"/>
        <v>0.11630108884330125</v>
      </c>
      <c r="W72" s="1">
        <v>61</v>
      </c>
      <c r="X72" s="4">
        <v>62.3</v>
      </c>
      <c r="Y72" s="19">
        <f t="shared" si="21"/>
        <v>-2.0866773675762396E-2</v>
      </c>
      <c r="Z72" s="5">
        <v>2.2999999999999998</v>
      </c>
      <c r="AA72" s="17">
        <f>X72/U72</f>
        <v>4.9155751933091362E-3</v>
      </c>
      <c r="AB72" s="17">
        <f>W72/T72</f>
        <v>4.3115634718688158E-3</v>
      </c>
      <c r="AC72" s="17">
        <f t="shared" si="22"/>
        <v>-0.1228771197036055</v>
      </c>
      <c r="AD72" s="18">
        <f>O72/X72</f>
        <v>165.02407704654897</v>
      </c>
      <c r="AE72" s="18">
        <f>N72/W72</f>
        <v>173.42622950819671</v>
      </c>
      <c r="AF72" s="16">
        <f t="shared" si="23"/>
        <v>5.091470658113554E-2</v>
      </c>
      <c r="AG72">
        <f t="shared" si="24"/>
        <v>149</v>
      </c>
      <c r="AH72">
        <f t="shared" si="25"/>
        <v>149</v>
      </c>
      <c r="AI72" s="16">
        <f t="shared" si="26"/>
        <v>0</v>
      </c>
      <c r="AJ72" s="18">
        <f t="shared" si="27"/>
        <v>2.9067005937234947</v>
      </c>
      <c r="AK72" s="18">
        <f t="shared" si="28"/>
        <v>3.1977276313713112</v>
      </c>
      <c r="AL72" s="15">
        <f t="shared" si="29"/>
        <v>0.74275362318840576</v>
      </c>
    </row>
    <row r="73" spans="1:38" x14ac:dyDescent="0.35">
      <c r="A73" s="1" t="s">
        <v>19</v>
      </c>
      <c r="B73" s="6" t="s">
        <v>38</v>
      </c>
      <c r="C73" s="1">
        <v>12</v>
      </c>
      <c r="D73" s="1" t="s">
        <v>50</v>
      </c>
      <c r="E73" s="2">
        <v>779</v>
      </c>
      <c r="F73" s="2">
        <v>649.20000000000005</v>
      </c>
      <c r="G73" s="2">
        <f t="shared" si="15"/>
        <v>129.79999999999995</v>
      </c>
      <c r="H73" s="3">
        <f>E73*K73</f>
        <v>107502</v>
      </c>
      <c r="I73" s="3">
        <f>F73*L73</f>
        <v>86992.8</v>
      </c>
      <c r="J73" s="19">
        <f t="shared" si="16"/>
        <v>0.23575744199519957</v>
      </c>
      <c r="K73" s="4">
        <v>138</v>
      </c>
      <c r="L73" s="4">
        <v>134</v>
      </c>
      <c r="M73" s="19">
        <f t="shared" si="17"/>
        <v>2.9850746268656716E-2</v>
      </c>
      <c r="N73" s="3">
        <f>E73*Q73</f>
        <v>73226</v>
      </c>
      <c r="O73" s="3">
        <f>F73*R73</f>
        <v>54532.800000000003</v>
      </c>
      <c r="P73" s="19">
        <f t="shared" si="18"/>
        <v>0.34278819352756501</v>
      </c>
      <c r="Q73" s="1">
        <v>94</v>
      </c>
      <c r="R73" s="1">
        <v>84</v>
      </c>
      <c r="S73" s="19">
        <f t="shared" si="19"/>
        <v>0.11904761904761904</v>
      </c>
      <c r="T73" s="1">
        <v>8113</v>
      </c>
      <c r="U73" s="1">
        <v>6955</v>
      </c>
      <c r="V73" s="19">
        <f t="shared" si="20"/>
        <v>0.16649892163910857</v>
      </c>
      <c r="W73" s="1">
        <v>84</v>
      </c>
      <c r="X73" s="1">
        <v>79</v>
      </c>
      <c r="Y73" s="19">
        <f t="shared" si="21"/>
        <v>6.3291139240506333E-2</v>
      </c>
      <c r="Z73" s="1">
        <v>4.9000000000000004</v>
      </c>
      <c r="AA73" s="17">
        <f>X73/U73</f>
        <v>1.1358734723220704E-2</v>
      </c>
      <c r="AB73" s="17">
        <f>W73/T73</f>
        <v>1.0353753235547885E-2</v>
      </c>
      <c r="AC73" s="17">
        <f t="shared" si="22"/>
        <v>-8.8476534769170334E-2</v>
      </c>
      <c r="AD73" s="18">
        <f>O73/X73</f>
        <v>690.28860759493671</v>
      </c>
      <c r="AE73" s="18">
        <f>N73/W73</f>
        <v>871.73809523809518</v>
      </c>
      <c r="AF73" s="16">
        <f t="shared" si="23"/>
        <v>0.26286032486520994</v>
      </c>
      <c r="AG73">
        <f t="shared" si="24"/>
        <v>649.20000000000005</v>
      </c>
      <c r="AH73">
        <f t="shared" si="25"/>
        <v>779</v>
      </c>
      <c r="AI73" s="16">
        <f t="shared" si="26"/>
        <v>0.19993838570548358</v>
      </c>
      <c r="AJ73" s="18">
        <f t="shared" si="27"/>
        <v>22.276346604215458</v>
      </c>
      <c r="AK73" s="18">
        <f t="shared" si="28"/>
        <v>20.348756290438534</v>
      </c>
      <c r="AL73" s="15">
        <f t="shared" si="29"/>
        <v>0.59482758620689657</v>
      </c>
    </row>
    <row r="74" spans="1:38" x14ac:dyDescent="0.35">
      <c r="A74" s="1" t="s">
        <v>19</v>
      </c>
      <c r="B74" s="6" t="s">
        <v>39</v>
      </c>
      <c r="C74" s="1">
        <v>13</v>
      </c>
      <c r="D74" s="1" t="s">
        <v>50</v>
      </c>
      <c r="E74" s="2">
        <v>136</v>
      </c>
      <c r="F74" s="2">
        <v>136</v>
      </c>
      <c r="G74" s="2">
        <f t="shared" si="15"/>
        <v>0</v>
      </c>
      <c r="H74" s="3">
        <f>E74*K74</f>
        <v>20536</v>
      </c>
      <c r="I74" s="3">
        <f>F74*L74</f>
        <v>20264</v>
      </c>
      <c r="J74" s="19">
        <f t="shared" si="16"/>
        <v>1.3422818791946308E-2</v>
      </c>
      <c r="K74" s="4">
        <v>151</v>
      </c>
      <c r="L74" s="4">
        <v>149</v>
      </c>
      <c r="M74" s="19">
        <f t="shared" si="17"/>
        <v>1.3422818791946308E-2</v>
      </c>
      <c r="N74" s="3">
        <f>E74*Q74</f>
        <v>17000</v>
      </c>
      <c r="O74" s="3">
        <f>F74*R74</f>
        <v>14824</v>
      </c>
      <c r="P74" s="19">
        <f t="shared" si="18"/>
        <v>0.14678899082568808</v>
      </c>
      <c r="Q74" s="1">
        <v>125</v>
      </c>
      <c r="R74" s="1">
        <v>109</v>
      </c>
      <c r="S74" s="19">
        <f t="shared" si="19"/>
        <v>0.14678899082568808</v>
      </c>
      <c r="T74" s="1">
        <v>12188</v>
      </c>
      <c r="U74" s="1">
        <v>13052</v>
      </c>
      <c r="V74" s="19">
        <f t="shared" si="20"/>
        <v>-6.6196751455715602E-2</v>
      </c>
      <c r="W74" s="1">
        <v>115</v>
      </c>
      <c r="X74" s="4">
        <v>83.85</v>
      </c>
      <c r="Y74" s="19">
        <f t="shared" si="21"/>
        <v>0.37149672033392972</v>
      </c>
      <c r="Z74" s="5">
        <v>2.2999999999999998</v>
      </c>
      <c r="AA74" s="17">
        <f>X74/U74</f>
        <v>6.4243027888446214E-3</v>
      </c>
      <c r="AB74" s="17">
        <f>W74/T74</f>
        <v>9.4355103380374134E-3</v>
      </c>
      <c r="AC74" s="17">
        <f t="shared" si="22"/>
        <v>0.46872129913016486</v>
      </c>
      <c r="AD74" s="18">
        <f>O74/X74</f>
        <v>176.79189028026238</v>
      </c>
      <c r="AE74" s="18">
        <f>N74/W74</f>
        <v>147.82608695652175</v>
      </c>
      <c r="AF74" s="16">
        <f t="shared" si="23"/>
        <v>-0.16384124451535698</v>
      </c>
      <c r="AG74">
        <f t="shared" si="24"/>
        <v>136</v>
      </c>
      <c r="AH74">
        <f t="shared" si="25"/>
        <v>136</v>
      </c>
      <c r="AI74" s="16">
        <f t="shared" si="26"/>
        <v>0</v>
      </c>
      <c r="AJ74" s="18">
        <f t="shared" si="27"/>
        <v>3.0797505743354119</v>
      </c>
      <c r="AK74" s="18">
        <f t="shared" si="28"/>
        <v>2.6883236285626726</v>
      </c>
      <c r="AL74" s="15">
        <f t="shared" si="29"/>
        <v>0.54710144927536231</v>
      </c>
    </row>
    <row r="75" spans="1:38" x14ac:dyDescent="0.35">
      <c r="A75" s="1" t="s">
        <v>19</v>
      </c>
      <c r="B75" s="6" t="s">
        <v>40</v>
      </c>
      <c r="C75" s="1">
        <v>14</v>
      </c>
      <c r="D75" s="1" t="s">
        <v>50</v>
      </c>
      <c r="E75" s="2">
        <v>249</v>
      </c>
      <c r="F75" s="2">
        <v>249</v>
      </c>
      <c r="G75" s="2">
        <f t="shared" si="15"/>
        <v>0</v>
      </c>
      <c r="H75" s="3">
        <f>E75*K75</f>
        <v>30129</v>
      </c>
      <c r="I75" s="3">
        <f>F75*L75</f>
        <v>27141</v>
      </c>
      <c r="J75" s="19">
        <f t="shared" si="16"/>
        <v>0.11009174311926606</v>
      </c>
      <c r="K75" s="4">
        <v>121</v>
      </c>
      <c r="L75" s="4">
        <v>109</v>
      </c>
      <c r="M75" s="19">
        <f t="shared" si="17"/>
        <v>0.11009174311926606</v>
      </c>
      <c r="N75" s="3">
        <f>E75*Q75</f>
        <v>10956</v>
      </c>
      <c r="O75" s="3">
        <f>F75*R75</f>
        <v>10707</v>
      </c>
      <c r="P75" s="19">
        <f t="shared" si="18"/>
        <v>2.3255813953488372E-2</v>
      </c>
      <c r="Q75" s="1">
        <v>44</v>
      </c>
      <c r="R75" s="1">
        <v>43</v>
      </c>
      <c r="S75" s="19">
        <f t="shared" si="19"/>
        <v>2.3255813953488372E-2</v>
      </c>
      <c r="T75" s="1">
        <v>12741</v>
      </c>
      <c r="U75" s="1">
        <v>12348</v>
      </c>
      <c r="V75" s="19">
        <f t="shared" si="20"/>
        <v>3.1827016520894071E-2</v>
      </c>
      <c r="W75" s="1">
        <v>34</v>
      </c>
      <c r="X75" s="1">
        <v>38</v>
      </c>
      <c r="Y75" s="19">
        <f t="shared" si="21"/>
        <v>-0.10526315789473684</v>
      </c>
      <c r="Z75" s="1">
        <v>4.7</v>
      </c>
      <c r="AA75" s="17">
        <f>X75/U75</f>
        <v>3.0774214447683835E-3</v>
      </c>
      <c r="AB75" s="17">
        <f>W75/T75</f>
        <v>2.6685503492661486E-3</v>
      </c>
      <c r="AC75" s="17">
        <f t="shared" si="22"/>
        <v>-0.13286158650688412</v>
      </c>
      <c r="AD75" s="18">
        <f>O75/X75</f>
        <v>281.76315789473682</v>
      </c>
      <c r="AE75" s="18">
        <f>N75/W75</f>
        <v>322.23529411764707</v>
      </c>
      <c r="AF75" s="16">
        <f t="shared" si="23"/>
        <v>0.14363885088919301</v>
      </c>
      <c r="AG75">
        <f t="shared" si="24"/>
        <v>249</v>
      </c>
      <c r="AH75">
        <f t="shared" si="25"/>
        <v>249</v>
      </c>
      <c r="AI75" s="16">
        <f t="shared" si="26"/>
        <v>0</v>
      </c>
      <c r="AJ75" s="18">
        <f t="shared" si="27"/>
        <v>3.2246291499882269</v>
      </c>
      <c r="AK75" s="18">
        <f t="shared" si="28"/>
        <v>3.06511175898931</v>
      </c>
      <c r="AL75" s="15">
        <f t="shared" si="29"/>
        <v>0.73333333333333328</v>
      </c>
    </row>
    <row r="76" spans="1:38" x14ac:dyDescent="0.35">
      <c r="A76" s="1" t="s">
        <v>19</v>
      </c>
      <c r="B76" s="6" t="s">
        <v>41</v>
      </c>
      <c r="C76" s="1">
        <v>15</v>
      </c>
      <c r="D76" s="1" t="s">
        <v>50</v>
      </c>
      <c r="E76" s="2">
        <v>155</v>
      </c>
      <c r="F76" s="2">
        <v>155</v>
      </c>
      <c r="G76" s="2">
        <f t="shared" si="15"/>
        <v>0</v>
      </c>
      <c r="H76" s="3">
        <f>E76*K76</f>
        <v>8680</v>
      </c>
      <c r="I76" s="3">
        <f>F76*L76</f>
        <v>8525</v>
      </c>
      <c r="J76" s="19">
        <f t="shared" si="16"/>
        <v>1.8181818181818181E-2</v>
      </c>
      <c r="K76" s="4">
        <v>56</v>
      </c>
      <c r="L76" s="4">
        <v>55</v>
      </c>
      <c r="M76" s="19">
        <f t="shared" si="17"/>
        <v>1.8181818181818181E-2</v>
      </c>
      <c r="N76" s="3">
        <f>E76*Q76</f>
        <v>5115</v>
      </c>
      <c r="O76" s="3">
        <f>F76*R76</f>
        <v>4805</v>
      </c>
      <c r="P76" s="19">
        <f t="shared" si="18"/>
        <v>6.4516129032258063E-2</v>
      </c>
      <c r="Q76" s="1">
        <v>33</v>
      </c>
      <c r="R76" s="1">
        <v>31</v>
      </c>
      <c r="S76" s="19">
        <f t="shared" si="19"/>
        <v>6.4516129032258063E-2</v>
      </c>
      <c r="T76" s="1">
        <v>13272</v>
      </c>
      <c r="U76" s="1">
        <v>12277</v>
      </c>
      <c r="V76" s="19">
        <f t="shared" si="20"/>
        <v>8.104585810865847E-2</v>
      </c>
      <c r="W76" s="1">
        <v>30</v>
      </c>
      <c r="X76" s="1">
        <v>26</v>
      </c>
      <c r="Y76" s="19">
        <f t="shared" si="21"/>
        <v>0.15384615384615385</v>
      </c>
      <c r="Z76" s="5">
        <v>2.7</v>
      </c>
      <c r="AA76" s="17">
        <f>X76/U76</f>
        <v>2.1177812169096686E-3</v>
      </c>
      <c r="AB76" s="17">
        <f>W76/T76</f>
        <v>2.2603978300180833E-3</v>
      </c>
      <c r="AC76" s="17">
        <f t="shared" si="22"/>
        <v>6.7342467658923336E-2</v>
      </c>
      <c r="AD76" s="18">
        <f>O76/X76</f>
        <v>184.80769230769232</v>
      </c>
      <c r="AE76" s="18">
        <f>N76/W76</f>
        <v>170.5</v>
      </c>
      <c r="AF76" s="16">
        <f t="shared" si="23"/>
        <v>-7.7419354838709736E-2</v>
      </c>
      <c r="AG76">
        <f t="shared" si="24"/>
        <v>155</v>
      </c>
      <c r="AH76">
        <f t="shared" si="25"/>
        <v>155</v>
      </c>
      <c r="AI76" s="16">
        <f t="shared" si="26"/>
        <v>0</v>
      </c>
      <c r="AJ76" s="18">
        <f t="shared" si="27"/>
        <v>1.0394062688366486</v>
      </c>
      <c r="AK76" s="18">
        <f t="shared" si="28"/>
        <v>1.0857701392848416</v>
      </c>
      <c r="AL76" s="15">
        <f t="shared" si="29"/>
        <v>0.6292134831460674</v>
      </c>
    </row>
    <row r="77" spans="1:38" x14ac:dyDescent="0.35">
      <c r="A77" s="1" t="s">
        <v>19</v>
      </c>
      <c r="B77" s="6" t="s">
        <v>42</v>
      </c>
      <c r="C77" s="1">
        <v>16</v>
      </c>
      <c r="D77" s="1" t="s">
        <v>50</v>
      </c>
      <c r="E77" s="2">
        <v>627</v>
      </c>
      <c r="F77" s="2">
        <v>627</v>
      </c>
      <c r="G77" s="2">
        <f t="shared" si="15"/>
        <v>0</v>
      </c>
      <c r="H77" s="3">
        <f>E77*K77</f>
        <v>83391</v>
      </c>
      <c r="I77" s="3">
        <f>F77*L77</f>
        <v>84645</v>
      </c>
      <c r="J77" s="19">
        <f t="shared" si="16"/>
        <v>-1.4814814814814815E-2</v>
      </c>
      <c r="K77" s="4">
        <v>133</v>
      </c>
      <c r="L77" s="4">
        <v>135</v>
      </c>
      <c r="M77" s="19">
        <f t="shared" si="17"/>
        <v>-1.4814814814814815E-2</v>
      </c>
      <c r="N77" s="3">
        <f>E77*Q77</f>
        <v>78375</v>
      </c>
      <c r="O77" s="3">
        <f>F77*R77</f>
        <v>73986</v>
      </c>
      <c r="P77" s="19">
        <f t="shared" si="18"/>
        <v>5.9322033898305086E-2</v>
      </c>
      <c r="Q77" s="1">
        <v>125</v>
      </c>
      <c r="R77" s="1">
        <v>118</v>
      </c>
      <c r="S77" s="19">
        <f t="shared" si="19"/>
        <v>5.9322033898305086E-2</v>
      </c>
      <c r="T77" s="1">
        <v>13526</v>
      </c>
      <c r="U77" s="1">
        <v>14623</v>
      </c>
      <c r="V77" s="19">
        <f t="shared" si="20"/>
        <v>-7.5018805990562806E-2</v>
      </c>
      <c r="W77" s="1">
        <v>115</v>
      </c>
      <c r="X77" s="1">
        <v>113</v>
      </c>
      <c r="Y77" s="19">
        <f t="shared" si="21"/>
        <v>1.7699115044247787E-2</v>
      </c>
      <c r="Z77" s="1">
        <v>4.5</v>
      </c>
      <c r="AA77" s="17">
        <f>X77/U77</f>
        <v>7.7275524858100254E-3</v>
      </c>
      <c r="AB77" s="17">
        <f>W77/T77</f>
        <v>8.5021440189265111E-3</v>
      </c>
      <c r="AC77" s="17">
        <f t="shared" si="22"/>
        <v>0.10023762821913601</v>
      </c>
      <c r="AD77" s="18">
        <f>O77/X77</f>
        <v>654.74336283185846</v>
      </c>
      <c r="AE77" s="18">
        <f>N77/W77</f>
        <v>681.52173913043475</v>
      </c>
      <c r="AF77" s="16">
        <f t="shared" si="23"/>
        <v>4.0899042004421383E-2</v>
      </c>
      <c r="AG77">
        <f t="shared" si="24"/>
        <v>627</v>
      </c>
      <c r="AH77">
        <f t="shared" si="25"/>
        <v>627</v>
      </c>
      <c r="AI77" s="16">
        <f t="shared" si="26"/>
        <v>0</v>
      </c>
      <c r="AJ77" s="18">
        <f t="shared" si="27"/>
        <v>11.959633298831879</v>
      </c>
      <c r="AK77" s="18">
        <f t="shared" si="28"/>
        <v>10.84804759625248</v>
      </c>
      <c r="AL77" s="15">
        <f t="shared" si="29"/>
        <v>0.51550387596899228</v>
      </c>
    </row>
    <row r="78" spans="1:38" x14ac:dyDescent="0.35">
      <c r="A78" s="1" t="s">
        <v>19</v>
      </c>
      <c r="B78" s="6" t="s">
        <v>43</v>
      </c>
      <c r="C78" s="1">
        <v>17</v>
      </c>
      <c r="D78" s="1" t="s">
        <v>50</v>
      </c>
      <c r="E78" s="2">
        <v>179</v>
      </c>
      <c r="F78" s="2">
        <v>169</v>
      </c>
      <c r="G78" s="2">
        <f t="shared" si="15"/>
        <v>10</v>
      </c>
      <c r="H78" s="3">
        <f>E78*K78</f>
        <v>33115</v>
      </c>
      <c r="I78" s="3">
        <f>F78*L78</f>
        <v>28054</v>
      </c>
      <c r="J78" s="19">
        <f t="shared" si="16"/>
        <v>0.18040208169957939</v>
      </c>
      <c r="K78" s="4">
        <v>185</v>
      </c>
      <c r="L78" s="4">
        <v>166</v>
      </c>
      <c r="M78" s="19">
        <f t="shared" si="17"/>
        <v>0.1144578313253012</v>
      </c>
      <c r="N78" s="3">
        <f>E78*Q78</f>
        <v>23270</v>
      </c>
      <c r="O78" s="3">
        <f>F78*R78</f>
        <v>18928</v>
      </c>
      <c r="P78" s="19">
        <f t="shared" si="18"/>
        <v>0.22939560439560439</v>
      </c>
      <c r="Q78" s="1">
        <v>130</v>
      </c>
      <c r="R78" s="1">
        <v>112</v>
      </c>
      <c r="S78" s="19">
        <f t="shared" si="19"/>
        <v>0.16071428571428573</v>
      </c>
      <c r="T78" s="1">
        <v>10799</v>
      </c>
      <c r="U78" s="1">
        <v>9987</v>
      </c>
      <c r="V78" s="19">
        <f t="shared" si="20"/>
        <v>8.1305697406628616E-2</v>
      </c>
      <c r="W78" s="1">
        <v>120</v>
      </c>
      <c r="X78" s="1">
        <v>107</v>
      </c>
      <c r="Y78" s="19">
        <f t="shared" si="21"/>
        <v>0.12149532710280374</v>
      </c>
      <c r="Z78" s="1">
        <v>4.9000000000000004</v>
      </c>
      <c r="AA78" s="17">
        <f>X78/U78</f>
        <v>1.07139281065385E-2</v>
      </c>
      <c r="AB78" s="17">
        <f>W78/T78</f>
        <v>1.1112140012964164E-2</v>
      </c>
      <c r="AC78" s="17">
        <f t="shared" si="22"/>
        <v>3.7167685135262717E-2</v>
      </c>
      <c r="AD78" s="18">
        <f>O78/X78</f>
        <v>176.89719626168224</v>
      </c>
      <c r="AE78" s="18">
        <f>N78/W78</f>
        <v>193.91666666666666</v>
      </c>
      <c r="AF78" s="16">
        <f t="shared" si="23"/>
        <v>9.621108058608055E-2</v>
      </c>
      <c r="AG78">
        <f t="shared" si="24"/>
        <v>169</v>
      </c>
      <c r="AH78">
        <f t="shared" si="25"/>
        <v>179</v>
      </c>
      <c r="AI78" s="16">
        <f t="shared" si="26"/>
        <v>5.9171597633136092E-2</v>
      </c>
      <c r="AJ78" s="18">
        <f t="shared" si="27"/>
        <v>5.2213167885915359</v>
      </c>
      <c r="AK78" s="18">
        <f t="shared" si="28"/>
        <v>4.7043156102933814</v>
      </c>
      <c r="AL78" s="15">
        <f t="shared" si="29"/>
        <v>0.58730158730158732</v>
      </c>
    </row>
    <row r="79" spans="1:38" x14ac:dyDescent="0.35">
      <c r="A79" s="1" t="s">
        <v>19</v>
      </c>
      <c r="B79" s="6" t="s">
        <v>44</v>
      </c>
      <c r="C79" s="1">
        <v>18</v>
      </c>
      <c r="D79" s="1" t="s">
        <v>50</v>
      </c>
      <c r="E79" s="2">
        <v>475</v>
      </c>
      <c r="F79" s="2">
        <v>475</v>
      </c>
      <c r="G79" s="2">
        <f t="shared" si="15"/>
        <v>0</v>
      </c>
      <c r="H79" s="3">
        <f>E79*K79</f>
        <v>66975</v>
      </c>
      <c r="I79" s="3">
        <f>F79*L79</f>
        <v>60800</v>
      </c>
      <c r="J79" s="19">
        <f t="shared" si="16"/>
        <v>0.1015625</v>
      </c>
      <c r="K79" s="4">
        <v>141</v>
      </c>
      <c r="L79" s="4">
        <v>128</v>
      </c>
      <c r="M79" s="19">
        <f t="shared" si="17"/>
        <v>0.1015625</v>
      </c>
      <c r="N79" s="3">
        <f>E79*Q79</f>
        <v>9975</v>
      </c>
      <c r="O79" s="3">
        <f>F79*R79</f>
        <v>9025</v>
      </c>
      <c r="P79" s="19">
        <f t="shared" si="18"/>
        <v>0.10526315789473684</v>
      </c>
      <c r="Q79" s="1">
        <v>21</v>
      </c>
      <c r="R79" s="1">
        <v>19</v>
      </c>
      <c r="S79" s="19">
        <f t="shared" si="19"/>
        <v>0.10526315789473684</v>
      </c>
      <c r="T79" s="1">
        <v>8381</v>
      </c>
      <c r="U79" s="1">
        <v>8254</v>
      </c>
      <c r="V79" s="19">
        <f t="shared" si="20"/>
        <v>1.538647928277199E-2</v>
      </c>
      <c r="W79" s="1">
        <v>28</v>
      </c>
      <c r="X79" s="4">
        <v>27.3</v>
      </c>
      <c r="Y79" s="19">
        <f t="shared" si="21"/>
        <v>2.5641025641025616E-2</v>
      </c>
      <c r="Z79" s="1">
        <v>4.5999999999999996</v>
      </c>
      <c r="AA79" s="17">
        <f>X79/U79</f>
        <v>3.3074872788950811E-3</v>
      </c>
      <c r="AB79" s="17">
        <f>W79/T79</f>
        <v>3.3408901085789284E-3</v>
      </c>
      <c r="AC79" s="17">
        <f t="shared" si="22"/>
        <v>1.0099155905145632E-2</v>
      </c>
      <c r="AD79" s="18">
        <f>O79/X79</f>
        <v>330.58608058608058</v>
      </c>
      <c r="AE79" s="18">
        <f>N79/W79</f>
        <v>356.25</v>
      </c>
      <c r="AF79" s="16">
        <f t="shared" si="23"/>
        <v>7.7631578947368426E-2</v>
      </c>
      <c r="AG79">
        <f t="shared" si="24"/>
        <v>475</v>
      </c>
      <c r="AH79">
        <f t="shared" si="25"/>
        <v>475</v>
      </c>
      <c r="AI79" s="16">
        <f t="shared" si="26"/>
        <v>0</v>
      </c>
      <c r="AJ79" s="18">
        <f t="shared" si="27"/>
        <v>9.181481923398163</v>
      </c>
      <c r="AK79" s="18">
        <f t="shared" si="28"/>
        <v>8.4595347710201114</v>
      </c>
      <c r="AL79" s="15">
        <f t="shared" si="29"/>
        <v>0.87037037037037035</v>
      </c>
    </row>
    <row r="80" spans="1:38" x14ac:dyDescent="0.35">
      <c r="A80" s="1" t="s">
        <v>19</v>
      </c>
      <c r="B80" s="6" t="s">
        <v>45</v>
      </c>
      <c r="C80" s="1">
        <v>19</v>
      </c>
      <c r="D80" s="1" t="s">
        <v>50</v>
      </c>
      <c r="E80" s="2">
        <v>180</v>
      </c>
      <c r="F80" s="2">
        <v>160</v>
      </c>
      <c r="G80" s="2">
        <f t="shared" si="15"/>
        <v>20</v>
      </c>
      <c r="H80" s="3">
        <f>E80*K80</f>
        <v>33840</v>
      </c>
      <c r="I80" s="3">
        <f>F80*L80</f>
        <v>29280</v>
      </c>
      <c r="J80" s="19">
        <f t="shared" si="16"/>
        <v>0.15573770491803279</v>
      </c>
      <c r="K80" s="4">
        <v>188</v>
      </c>
      <c r="L80" s="4">
        <v>183</v>
      </c>
      <c r="M80" s="19">
        <f t="shared" si="17"/>
        <v>2.7322404371584699E-2</v>
      </c>
      <c r="N80" s="3">
        <f>E80*Q80</f>
        <v>3960</v>
      </c>
      <c r="O80" s="3">
        <f>F80*R80</f>
        <v>3200</v>
      </c>
      <c r="P80" s="19">
        <f t="shared" si="18"/>
        <v>0.23749999999999999</v>
      </c>
      <c r="Q80" s="1">
        <v>22</v>
      </c>
      <c r="R80" s="1">
        <v>20</v>
      </c>
      <c r="S80" s="19">
        <f t="shared" si="19"/>
        <v>0.1</v>
      </c>
      <c r="T80" s="1">
        <v>2853</v>
      </c>
      <c r="U80" s="1">
        <v>2595</v>
      </c>
      <c r="V80" s="19">
        <f t="shared" si="20"/>
        <v>9.9421965317919081E-2</v>
      </c>
      <c r="W80" s="1">
        <v>22</v>
      </c>
      <c r="X80" s="4">
        <v>28</v>
      </c>
      <c r="Y80" s="19">
        <f t="shared" si="21"/>
        <v>-0.21428571428571427</v>
      </c>
      <c r="Z80" s="1">
        <v>4.0999999999999996</v>
      </c>
      <c r="AA80" s="17">
        <f>X80/U80</f>
        <v>1.0789980732177264E-2</v>
      </c>
      <c r="AB80" s="17">
        <f>W80/T80</f>
        <v>7.7111812127585002E-3</v>
      </c>
      <c r="AC80" s="17">
        <f t="shared" si="22"/>
        <v>-0.28533874117470331</v>
      </c>
      <c r="AD80" s="18">
        <f>O80/X80</f>
        <v>114.28571428571429</v>
      </c>
      <c r="AE80" s="18">
        <f>N80/W80</f>
        <v>180</v>
      </c>
      <c r="AF80" s="16">
        <f t="shared" si="23"/>
        <v>0.57499999999999996</v>
      </c>
      <c r="AG80">
        <f t="shared" si="24"/>
        <v>160</v>
      </c>
      <c r="AH80">
        <f t="shared" si="25"/>
        <v>180</v>
      </c>
      <c r="AI80" s="16">
        <f t="shared" si="26"/>
        <v>0.125</v>
      </c>
      <c r="AJ80" s="18">
        <f t="shared" si="27"/>
        <v>13.249211356466876</v>
      </c>
      <c r="AK80" s="18">
        <f t="shared" si="28"/>
        <v>12.516377649325626</v>
      </c>
      <c r="AL80" s="15">
        <f t="shared" si="29"/>
        <v>0.89523809523809528</v>
      </c>
    </row>
    <row r="81" spans="1:38" x14ac:dyDescent="0.35">
      <c r="A81" s="1" t="s">
        <v>19</v>
      </c>
      <c r="B81" s="6" t="s">
        <v>46</v>
      </c>
      <c r="C81" s="1">
        <v>20</v>
      </c>
      <c r="D81" s="1" t="s">
        <v>50</v>
      </c>
      <c r="E81" s="2">
        <v>475</v>
      </c>
      <c r="F81" s="2">
        <v>475</v>
      </c>
      <c r="G81" s="2">
        <f t="shared" si="15"/>
        <v>0</v>
      </c>
      <c r="H81" s="3">
        <f>E81*K81</f>
        <v>87875</v>
      </c>
      <c r="I81" s="3">
        <f>F81*L81</f>
        <v>86450</v>
      </c>
      <c r="J81" s="19">
        <f t="shared" si="16"/>
        <v>1.6483516483516484E-2</v>
      </c>
      <c r="K81" s="4">
        <v>185</v>
      </c>
      <c r="L81" s="4">
        <v>182</v>
      </c>
      <c r="M81" s="19">
        <f t="shared" si="17"/>
        <v>1.6483516483516484E-2</v>
      </c>
      <c r="N81" s="3">
        <f>E81*Q81</f>
        <v>30875</v>
      </c>
      <c r="O81" s="3">
        <f>F81*R81</f>
        <v>28500</v>
      </c>
      <c r="P81" s="19">
        <f t="shared" si="18"/>
        <v>8.3333333333333329E-2</v>
      </c>
      <c r="Q81" s="1">
        <v>65</v>
      </c>
      <c r="R81" s="1">
        <v>60</v>
      </c>
      <c r="S81" s="19">
        <f t="shared" si="19"/>
        <v>8.3333333333333329E-2</v>
      </c>
      <c r="T81" s="1">
        <v>9880</v>
      </c>
      <c r="U81" s="1">
        <v>10397</v>
      </c>
      <c r="V81" s="19">
        <f t="shared" si="20"/>
        <v>-4.9725882466095987E-2</v>
      </c>
      <c r="W81" s="1">
        <v>55</v>
      </c>
      <c r="X81" s="1">
        <v>55</v>
      </c>
      <c r="Y81" s="19">
        <f t="shared" si="21"/>
        <v>0</v>
      </c>
      <c r="Z81" s="5">
        <v>3.5</v>
      </c>
      <c r="AA81" s="17">
        <f>X81/U81</f>
        <v>5.2899874963931908E-3</v>
      </c>
      <c r="AB81" s="17">
        <f>W81/T81</f>
        <v>5.566801619433198E-3</v>
      </c>
      <c r="AC81" s="17">
        <f t="shared" si="22"/>
        <v>5.2327935222671908E-2</v>
      </c>
      <c r="AD81" s="18">
        <f>O81/X81</f>
        <v>518.18181818181813</v>
      </c>
      <c r="AE81" s="18">
        <f>N81/W81</f>
        <v>561.36363636363637</v>
      </c>
      <c r="AF81" s="16">
        <f t="shared" si="23"/>
        <v>8.3333333333333467E-2</v>
      </c>
      <c r="AG81">
        <f t="shared" si="24"/>
        <v>475</v>
      </c>
      <c r="AH81">
        <f t="shared" si="25"/>
        <v>475</v>
      </c>
      <c r="AI81" s="16">
        <f t="shared" si="26"/>
        <v>0</v>
      </c>
      <c r="AJ81" s="18">
        <f t="shared" si="27"/>
        <v>12.01923076923077</v>
      </c>
      <c r="AK81" s="18">
        <f t="shared" si="28"/>
        <v>11.056073867461768</v>
      </c>
      <c r="AL81" s="15">
        <f t="shared" si="29"/>
        <v>0.74</v>
      </c>
    </row>
    <row r="82" spans="1:38" x14ac:dyDescent="0.35">
      <c r="A82" s="1" t="s">
        <v>20</v>
      </c>
      <c r="B82" s="1" t="s">
        <v>16</v>
      </c>
      <c r="C82" s="1">
        <v>1</v>
      </c>
      <c r="D82" s="1" t="s">
        <v>48</v>
      </c>
      <c r="E82" s="2">
        <v>279</v>
      </c>
      <c r="F82" s="2">
        <v>249</v>
      </c>
      <c r="G82" s="2">
        <f t="shared" si="15"/>
        <v>30</v>
      </c>
      <c r="H82" s="3">
        <f>E82*K82</f>
        <v>45477</v>
      </c>
      <c r="I82" s="3">
        <f>F82*L82</f>
        <v>39840</v>
      </c>
      <c r="J82" s="19">
        <f t="shared" si="16"/>
        <v>0.14149096385542168</v>
      </c>
      <c r="K82" s="4">
        <v>163</v>
      </c>
      <c r="L82" s="4">
        <v>160</v>
      </c>
      <c r="M82" s="19">
        <f t="shared" si="17"/>
        <v>1.8749999999999999E-2</v>
      </c>
      <c r="N82" s="3">
        <f>E82*Q82</f>
        <v>29016</v>
      </c>
      <c r="O82" s="3">
        <f>F82*R82</f>
        <v>25896</v>
      </c>
      <c r="P82" s="19">
        <f t="shared" si="18"/>
        <v>0.12048192771084337</v>
      </c>
      <c r="Q82" s="1">
        <v>104</v>
      </c>
      <c r="R82" s="1">
        <v>104</v>
      </c>
      <c r="S82" s="19">
        <f t="shared" si="19"/>
        <v>0</v>
      </c>
      <c r="T82" s="1">
        <v>9901</v>
      </c>
      <c r="U82" s="1">
        <v>10144</v>
      </c>
      <c r="V82" s="19">
        <f t="shared" si="20"/>
        <v>-2.3955047318611988E-2</v>
      </c>
      <c r="W82" s="1">
        <v>94</v>
      </c>
      <c r="X82" s="1">
        <v>99</v>
      </c>
      <c r="Y82" s="19">
        <f t="shared" si="21"/>
        <v>-5.0505050505050504E-2</v>
      </c>
      <c r="Z82" s="1">
        <v>4.3</v>
      </c>
      <c r="AA82" s="17">
        <f>X82/U82</f>
        <v>9.7594637223974764E-3</v>
      </c>
      <c r="AB82" s="17">
        <f>W82/T82</f>
        <v>9.4939905060094937E-3</v>
      </c>
      <c r="AC82" s="17">
        <f t="shared" si="22"/>
        <v>-2.7201619263027232E-2</v>
      </c>
      <c r="AD82" s="18">
        <f>O82/X82</f>
        <v>261.57575757575756</v>
      </c>
      <c r="AE82" s="18">
        <f>N82/W82</f>
        <v>308.68085106382978</v>
      </c>
      <c r="AF82" s="16">
        <f t="shared" si="23"/>
        <v>0.18008203024865421</v>
      </c>
      <c r="AG82">
        <f t="shared" si="24"/>
        <v>249</v>
      </c>
      <c r="AH82">
        <f t="shared" si="25"/>
        <v>279</v>
      </c>
      <c r="AI82" s="16">
        <f t="shared" si="26"/>
        <v>0.12048192771084337</v>
      </c>
      <c r="AJ82" s="18">
        <f t="shared" si="27"/>
        <v>7.523785476214524</v>
      </c>
      <c r="AK82" s="18">
        <f t="shared" si="28"/>
        <v>6.4802839116719246</v>
      </c>
      <c r="AL82" s="15">
        <f t="shared" si="29"/>
        <v>0.61048689138576784</v>
      </c>
    </row>
    <row r="83" spans="1:38" x14ac:dyDescent="0.35">
      <c r="A83" s="1" t="s">
        <v>20</v>
      </c>
      <c r="B83" s="6" t="s">
        <v>28</v>
      </c>
      <c r="C83" s="1">
        <v>2</v>
      </c>
      <c r="D83" s="1" t="s">
        <v>48</v>
      </c>
      <c r="E83" s="2">
        <v>354</v>
      </c>
      <c r="F83" s="2">
        <v>354</v>
      </c>
      <c r="G83" s="2">
        <f t="shared" si="15"/>
        <v>0</v>
      </c>
      <c r="H83" s="3">
        <f>E83*K83</f>
        <v>44958</v>
      </c>
      <c r="I83" s="3">
        <f>F83*L83</f>
        <v>45312</v>
      </c>
      <c r="J83" s="19">
        <f t="shared" si="16"/>
        <v>-7.8125E-3</v>
      </c>
      <c r="K83" s="4">
        <v>127</v>
      </c>
      <c r="L83" s="4">
        <v>128</v>
      </c>
      <c r="M83" s="19">
        <f t="shared" si="17"/>
        <v>-7.8125E-3</v>
      </c>
      <c r="N83" s="3">
        <f>E83*Q83</f>
        <v>21948</v>
      </c>
      <c r="O83" s="3">
        <f>F83*R83</f>
        <v>19470</v>
      </c>
      <c r="P83" s="19">
        <f t="shared" si="18"/>
        <v>0.12727272727272726</v>
      </c>
      <c r="Q83" s="1">
        <v>62</v>
      </c>
      <c r="R83" s="1">
        <v>55</v>
      </c>
      <c r="S83" s="19">
        <f t="shared" si="19"/>
        <v>0.12727272727272726</v>
      </c>
      <c r="T83" s="1">
        <v>8796</v>
      </c>
      <c r="U83" s="1">
        <v>8790</v>
      </c>
      <c r="V83" s="19">
        <f t="shared" si="20"/>
        <v>6.8259385665529011E-4</v>
      </c>
      <c r="W83" s="1">
        <v>52</v>
      </c>
      <c r="X83" s="1">
        <v>50</v>
      </c>
      <c r="Y83" s="19">
        <f t="shared" si="21"/>
        <v>0.04</v>
      </c>
      <c r="Z83" s="5">
        <v>2.4</v>
      </c>
      <c r="AA83" s="17">
        <f>X83/U83</f>
        <v>5.6882821387940841E-3</v>
      </c>
      <c r="AB83" s="17">
        <f>W83/T83</f>
        <v>5.9117780809458849E-3</v>
      </c>
      <c r="AC83" s="17">
        <f t="shared" si="22"/>
        <v>3.9290586630286582E-2</v>
      </c>
      <c r="AD83" s="18">
        <f>O83/X83</f>
        <v>389.4</v>
      </c>
      <c r="AE83" s="18">
        <f>N83/W83</f>
        <v>422.07692307692309</v>
      </c>
      <c r="AF83" s="16">
        <f t="shared" si="23"/>
        <v>8.3916083916084031E-2</v>
      </c>
      <c r="AG83">
        <f t="shared" si="24"/>
        <v>354</v>
      </c>
      <c r="AH83">
        <f t="shared" si="25"/>
        <v>354</v>
      </c>
      <c r="AI83" s="16">
        <f t="shared" si="26"/>
        <v>0</v>
      </c>
      <c r="AJ83" s="18">
        <f t="shared" si="27"/>
        <v>7.6064120054570257</v>
      </c>
      <c r="AK83" s="18">
        <f t="shared" si="28"/>
        <v>7.3699658703071673</v>
      </c>
      <c r="AL83" s="15">
        <f t="shared" si="29"/>
        <v>0.67195767195767198</v>
      </c>
    </row>
    <row r="84" spans="1:38" x14ac:dyDescent="0.35">
      <c r="A84" s="1" t="s">
        <v>20</v>
      </c>
      <c r="B84" s="6" t="s">
        <v>29</v>
      </c>
      <c r="C84" s="1">
        <v>3</v>
      </c>
      <c r="D84" s="1" t="s">
        <v>48</v>
      </c>
      <c r="E84" s="2">
        <v>198</v>
      </c>
      <c r="F84" s="2">
        <v>198</v>
      </c>
      <c r="G84" s="2">
        <f t="shared" si="15"/>
        <v>0</v>
      </c>
      <c r="H84" s="3">
        <f>E84*K84</f>
        <v>32274</v>
      </c>
      <c r="I84" s="3">
        <f>F84*L84</f>
        <v>28314</v>
      </c>
      <c r="J84" s="19">
        <f t="shared" si="16"/>
        <v>0.13986013986013987</v>
      </c>
      <c r="K84" s="4">
        <v>163</v>
      </c>
      <c r="L84" s="4">
        <v>143</v>
      </c>
      <c r="M84" s="19">
        <f t="shared" si="17"/>
        <v>0.13986013986013987</v>
      </c>
      <c r="N84" s="3">
        <f>E84*Q84</f>
        <v>23760</v>
      </c>
      <c r="O84" s="3">
        <f>F84*R84</f>
        <v>21978</v>
      </c>
      <c r="P84" s="19">
        <f t="shared" si="18"/>
        <v>8.1081081081081086E-2</v>
      </c>
      <c r="Q84" s="1">
        <v>120</v>
      </c>
      <c r="R84" s="1">
        <v>111</v>
      </c>
      <c r="S84" s="19">
        <f t="shared" si="19"/>
        <v>8.1081081081081086E-2</v>
      </c>
      <c r="T84" s="1">
        <v>8351</v>
      </c>
      <c r="U84" s="1">
        <v>7331</v>
      </c>
      <c r="V84" s="19">
        <f t="shared" si="20"/>
        <v>0.13913517937525577</v>
      </c>
      <c r="W84" s="1">
        <v>110</v>
      </c>
      <c r="X84" s="1">
        <v>106</v>
      </c>
      <c r="Y84" s="19">
        <f t="shared" si="21"/>
        <v>3.7735849056603772E-2</v>
      </c>
      <c r="Z84" s="5">
        <v>3.7</v>
      </c>
      <c r="AA84" s="17">
        <f>X84/U84</f>
        <v>1.4459146091938343E-2</v>
      </c>
      <c r="AB84" s="17">
        <f>W84/T84</f>
        <v>1.3172075200574781E-2</v>
      </c>
      <c r="AC84" s="17">
        <f t="shared" si="22"/>
        <v>-8.9014308533832798E-2</v>
      </c>
      <c r="AD84" s="18">
        <f>O84/X84</f>
        <v>207.33962264150944</v>
      </c>
      <c r="AE84" s="18">
        <f>N84/W84</f>
        <v>216</v>
      </c>
      <c r="AF84" s="16">
        <f t="shared" si="23"/>
        <v>4.1769041769041761E-2</v>
      </c>
      <c r="AG84">
        <f t="shared" si="24"/>
        <v>198</v>
      </c>
      <c r="AH84">
        <f t="shared" si="25"/>
        <v>198</v>
      </c>
      <c r="AI84" s="16">
        <f t="shared" si="26"/>
        <v>0</v>
      </c>
      <c r="AJ84" s="18">
        <f t="shared" si="27"/>
        <v>6.7098551071727934</v>
      </c>
      <c r="AK84" s="18">
        <f t="shared" si="28"/>
        <v>6.8601827854317285</v>
      </c>
      <c r="AL84" s="15">
        <f t="shared" si="29"/>
        <v>0.57597173144876324</v>
      </c>
    </row>
    <row r="85" spans="1:38" x14ac:dyDescent="0.35">
      <c r="A85" s="1" t="s">
        <v>20</v>
      </c>
      <c r="B85" s="6" t="s">
        <v>30</v>
      </c>
      <c r="C85" s="1">
        <v>4</v>
      </c>
      <c r="D85" s="1" t="s">
        <v>48</v>
      </c>
      <c r="E85" s="2">
        <v>150</v>
      </c>
      <c r="F85" s="2">
        <v>149</v>
      </c>
      <c r="G85" s="2">
        <f t="shared" si="15"/>
        <v>1</v>
      </c>
      <c r="H85" s="3">
        <f>E85*K85</f>
        <v>8250</v>
      </c>
      <c r="I85" s="3">
        <f>F85*L85</f>
        <v>8046</v>
      </c>
      <c r="J85" s="19">
        <f t="shared" si="16"/>
        <v>2.535421327367636E-2</v>
      </c>
      <c r="K85" s="4">
        <v>55</v>
      </c>
      <c r="L85" s="4">
        <v>54</v>
      </c>
      <c r="M85" s="19">
        <f t="shared" si="17"/>
        <v>1.8518518518518517E-2</v>
      </c>
      <c r="N85" s="3">
        <f>E85*Q85</f>
        <v>19200</v>
      </c>
      <c r="O85" s="3">
        <f>F85*R85</f>
        <v>19072</v>
      </c>
      <c r="P85" s="19">
        <f t="shared" si="18"/>
        <v>6.7114093959731542E-3</v>
      </c>
      <c r="Q85" s="1">
        <v>128</v>
      </c>
      <c r="R85" s="1">
        <v>128</v>
      </c>
      <c r="S85" s="19">
        <f t="shared" si="19"/>
        <v>0</v>
      </c>
      <c r="T85" s="1">
        <v>5211</v>
      </c>
      <c r="U85" s="1">
        <v>5118</v>
      </c>
      <c r="V85" s="19">
        <f t="shared" si="20"/>
        <v>1.817116060961313E-2</v>
      </c>
      <c r="W85" s="1">
        <v>118</v>
      </c>
      <c r="X85" s="1">
        <v>123</v>
      </c>
      <c r="Y85" s="19">
        <f t="shared" si="21"/>
        <v>-4.065040650406504E-2</v>
      </c>
      <c r="Z85" s="5">
        <v>4.0999999999999996</v>
      </c>
      <c r="AA85" s="17">
        <f>X85/U85</f>
        <v>2.4032825322391559E-2</v>
      </c>
      <c r="AB85" s="17">
        <f>W85/T85</f>
        <v>2.2644406064095183E-2</v>
      </c>
      <c r="AC85" s="17">
        <f t="shared" si="22"/>
        <v>-5.7771786698868711E-2</v>
      </c>
      <c r="AD85" s="18">
        <f>O85/X85</f>
        <v>155.0569105691057</v>
      </c>
      <c r="AE85" s="18">
        <f>N85/W85</f>
        <v>162.71186440677965</v>
      </c>
      <c r="AF85" s="16">
        <f t="shared" si="23"/>
        <v>4.9368672505971933E-2</v>
      </c>
      <c r="AG85">
        <f t="shared" si="24"/>
        <v>149</v>
      </c>
      <c r="AH85">
        <f t="shared" si="25"/>
        <v>150</v>
      </c>
      <c r="AI85" s="16">
        <f t="shared" si="26"/>
        <v>6.7114093959731542E-3</v>
      </c>
      <c r="AJ85" s="18">
        <f t="shared" si="27"/>
        <v>5.2677029360967182</v>
      </c>
      <c r="AK85" s="18">
        <f t="shared" si="28"/>
        <v>5.2985541227041812</v>
      </c>
      <c r="AL85" s="15">
        <f t="shared" si="29"/>
        <v>0.30054644808743169</v>
      </c>
    </row>
    <row r="86" spans="1:38" x14ac:dyDescent="0.35">
      <c r="A86" s="1" t="s">
        <v>20</v>
      </c>
      <c r="B86" s="6" t="s">
        <v>31</v>
      </c>
      <c r="C86" s="1">
        <v>5</v>
      </c>
      <c r="D86" s="1" t="s">
        <v>48</v>
      </c>
      <c r="E86" s="2">
        <v>506</v>
      </c>
      <c r="F86" s="2">
        <v>499.9</v>
      </c>
      <c r="G86" s="2">
        <f t="shared" si="15"/>
        <v>6.1000000000000227</v>
      </c>
      <c r="H86" s="3">
        <f>E86*K86</f>
        <v>34914</v>
      </c>
      <c r="I86" s="3">
        <f>F86*L86</f>
        <v>33993.199999999997</v>
      </c>
      <c r="J86" s="19">
        <f t="shared" si="16"/>
        <v>2.7087770495275613E-2</v>
      </c>
      <c r="K86" s="4">
        <v>69</v>
      </c>
      <c r="L86" s="4">
        <v>68</v>
      </c>
      <c r="M86" s="19">
        <f t="shared" si="17"/>
        <v>1.4705882352941176E-2</v>
      </c>
      <c r="N86" s="3">
        <f>E86*Q86</f>
        <v>24794</v>
      </c>
      <c r="O86" s="3">
        <f>F86*R86</f>
        <v>21995.599999999999</v>
      </c>
      <c r="P86" s="19">
        <f t="shared" si="18"/>
        <v>0.12722544508901787</v>
      </c>
      <c r="Q86" s="1">
        <v>49</v>
      </c>
      <c r="R86" s="1">
        <v>44</v>
      </c>
      <c r="S86" s="19">
        <f t="shared" si="19"/>
        <v>0.11363636363636363</v>
      </c>
      <c r="T86" s="1">
        <v>7445</v>
      </c>
      <c r="U86" s="1">
        <v>6614</v>
      </c>
      <c r="V86" s="19">
        <f t="shared" si="20"/>
        <v>0.12564257635319021</v>
      </c>
      <c r="W86" s="1">
        <v>39</v>
      </c>
      <c r="X86" s="1">
        <v>39</v>
      </c>
      <c r="Y86" s="19">
        <f t="shared" si="21"/>
        <v>0</v>
      </c>
      <c r="Z86" s="5">
        <v>3.0999999999999996</v>
      </c>
      <c r="AA86" s="17">
        <f>X86/U86</f>
        <v>5.8965830057453889E-3</v>
      </c>
      <c r="AB86" s="17">
        <f>W86/T86</f>
        <v>5.2384150436534591E-3</v>
      </c>
      <c r="AC86" s="17">
        <f t="shared" si="22"/>
        <v>-0.11161853593015446</v>
      </c>
      <c r="AD86" s="18">
        <f>O86/X86</f>
        <v>563.98974358974351</v>
      </c>
      <c r="AE86" s="18">
        <f>N86/W86</f>
        <v>635.74358974358972</v>
      </c>
      <c r="AF86" s="16">
        <f t="shared" si="23"/>
        <v>0.12722544508901792</v>
      </c>
      <c r="AG86">
        <f t="shared" si="24"/>
        <v>499.9</v>
      </c>
      <c r="AH86">
        <f t="shared" si="25"/>
        <v>506</v>
      </c>
      <c r="AI86" s="16">
        <f t="shared" si="26"/>
        <v>1.2202440488097665E-2</v>
      </c>
      <c r="AJ86" s="18">
        <f t="shared" si="27"/>
        <v>8.0198791134989929</v>
      </c>
      <c r="AK86" s="18">
        <f t="shared" si="28"/>
        <v>8.465195040822497</v>
      </c>
      <c r="AL86" s="15">
        <f t="shared" si="29"/>
        <v>0.5847457627118644</v>
      </c>
    </row>
    <row r="87" spans="1:38" x14ac:dyDescent="0.35">
      <c r="A87" s="1" t="s">
        <v>20</v>
      </c>
      <c r="B87" s="6" t="s">
        <v>32</v>
      </c>
      <c r="C87" s="1">
        <v>6</v>
      </c>
      <c r="D87" s="1" t="s">
        <v>48</v>
      </c>
      <c r="E87" s="2">
        <v>421</v>
      </c>
      <c r="F87" s="2">
        <v>399</v>
      </c>
      <c r="G87" s="2">
        <f t="shared" si="15"/>
        <v>22</v>
      </c>
      <c r="H87" s="3">
        <f>E87*K87</f>
        <v>45468</v>
      </c>
      <c r="I87" s="3">
        <f>F87*L87</f>
        <v>39900</v>
      </c>
      <c r="J87" s="19">
        <f t="shared" si="16"/>
        <v>0.13954887218045112</v>
      </c>
      <c r="K87" s="4">
        <v>108</v>
      </c>
      <c r="L87" s="4">
        <v>100</v>
      </c>
      <c r="M87" s="19">
        <f t="shared" si="17"/>
        <v>0.08</v>
      </c>
      <c r="N87" s="3">
        <f>E87*Q87</f>
        <v>54730</v>
      </c>
      <c r="O87" s="3">
        <f>F87*R87</f>
        <v>51870</v>
      </c>
      <c r="P87" s="19">
        <f t="shared" si="18"/>
        <v>5.5137844611528819E-2</v>
      </c>
      <c r="Q87" s="1">
        <v>130</v>
      </c>
      <c r="R87" s="1">
        <v>130</v>
      </c>
      <c r="S87" s="19">
        <f t="shared" si="19"/>
        <v>0</v>
      </c>
      <c r="T87" s="1">
        <v>5570</v>
      </c>
      <c r="U87" s="1">
        <v>5209</v>
      </c>
      <c r="V87" s="19">
        <f t="shared" si="20"/>
        <v>6.9303129199462465E-2</v>
      </c>
      <c r="W87" s="1">
        <v>120</v>
      </c>
      <c r="X87" s="4">
        <v>105</v>
      </c>
      <c r="Y87" s="19">
        <f t="shared" si="21"/>
        <v>0.14285714285714285</v>
      </c>
      <c r="Z87" s="1">
        <v>4.0999999999999996</v>
      </c>
      <c r="AA87" s="17">
        <f>X87/U87</f>
        <v>2.0157419850259168E-2</v>
      </c>
      <c r="AB87" s="17">
        <f>W87/T87</f>
        <v>2.1543985637342909E-2</v>
      </c>
      <c r="AC87" s="17">
        <f t="shared" si="22"/>
        <v>6.8786868427801975E-2</v>
      </c>
      <c r="AD87" s="18">
        <f>O87/X87</f>
        <v>494</v>
      </c>
      <c r="AE87" s="18">
        <f>N87/W87</f>
        <v>456.08333333333331</v>
      </c>
      <c r="AF87" s="16">
        <f t="shared" si="23"/>
        <v>-7.6754385964912325E-2</v>
      </c>
      <c r="AG87">
        <f t="shared" si="24"/>
        <v>399</v>
      </c>
      <c r="AH87">
        <f t="shared" si="25"/>
        <v>421</v>
      </c>
      <c r="AI87" s="16">
        <f t="shared" si="26"/>
        <v>5.5137844611528819E-2</v>
      </c>
      <c r="AJ87" s="18">
        <f t="shared" si="27"/>
        <v>17.988868940754038</v>
      </c>
      <c r="AK87" s="18">
        <f t="shared" si="28"/>
        <v>17.617584949126513</v>
      </c>
      <c r="AL87" s="15">
        <f t="shared" si="29"/>
        <v>0.45378151260504201</v>
      </c>
    </row>
    <row r="88" spans="1:38" x14ac:dyDescent="0.35">
      <c r="A88" s="1" t="s">
        <v>20</v>
      </c>
      <c r="B88" s="6" t="s">
        <v>33</v>
      </c>
      <c r="C88" s="1">
        <v>7</v>
      </c>
      <c r="D88" s="1" t="s">
        <v>48</v>
      </c>
      <c r="E88" s="2">
        <v>419</v>
      </c>
      <c r="F88" s="2">
        <v>419</v>
      </c>
      <c r="G88" s="2">
        <f t="shared" si="15"/>
        <v>0</v>
      </c>
      <c r="H88" s="3">
        <f>E88*K88</f>
        <v>28911</v>
      </c>
      <c r="I88" s="3">
        <f>F88*L88</f>
        <v>28492</v>
      </c>
      <c r="J88" s="19">
        <f t="shared" si="16"/>
        <v>1.4705882352941176E-2</v>
      </c>
      <c r="K88" s="4">
        <v>69</v>
      </c>
      <c r="L88" s="4">
        <v>68</v>
      </c>
      <c r="M88" s="19">
        <f t="shared" si="17"/>
        <v>1.4705882352941176E-2</v>
      </c>
      <c r="N88" s="3">
        <f>E88*Q88</f>
        <v>53213</v>
      </c>
      <c r="O88" s="3">
        <f>F88*R88</f>
        <v>52794</v>
      </c>
      <c r="P88" s="19">
        <f t="shared" si="18"/>
        <v>7.9365079365079361E-3</v>
      </c>
      <c r="Q88" s="1">
        <v>127</v>
      </c>
      <c r="R88" s="1">
        <v>126</v>
      </c>
      <c r="S88" s="19">
        <f t="shared" si="19"/>
        <v>7.9365079365079361E-3</v>
      </c>
      <c r="T88" s="1">
        <v>10132</v>
      </c>
      <c r="U88" s="1">
        <v>9872</v>
      </c>
      <c r="V88" s="19">
        <f t="shared" si="20"/>
        <v>2.6337115072933549E-2</v>
      </c>
      <c r="W88" s="1">
        <v>117</v>
      </c>
      <c r="X88" s="4">
        <v>102.2</v>
      </c>
      <c r="Y88" s="19">
        <f t="shared" si="21"/>
        <v>0.14481409001956944</v>
      </c>
      <c r="Z88" s="5">
        <v>3.7</v>
      </c>
      <c r="AA88" s="17">
        <f>X88/U88</f>
        <v>1.0352512155591572E-2</v>
      </c>
      <c r="AB88" s="17">
        <f>W88/T88</f>
        <v>1.154757204895381E-2</v>
      </c>
      <c r="AC88" s="17">
        <f t="shared" si="22"/>
        <v>0.11543670515921739</v>
      </c>
      <c r="AD88" s="18">
        <f>O88/X88</f>
        <v>516.57534246575347</v>
      </c>
      <c r="AE88" s="18">
        <f>N88/W88</f>
        <v>454.81196581196582</v>
      </c>
      <c r="AF88" s="16">
        <f t="shared" si="23"/>
        <v>-0.11956315289648628</v>
      </c>
      <c r="AG88">
        <f t="shared" si="24"/>
        <v>419</v>
      </c>
      <c r="AH88">
        <f t="shared" si="25"/>
        <v>419</v>
      </c>
      <c r="AI88" s="16">
        <f t="shared" si="26"/>
        <v>0</v>
      </c>
      <c r="AJ88" s="18">
        <f t="shared" si="27"/>
        <v>8.1054086063955779</v>
      </c>
      <c r="AK88" s="18">
        <f t="shared" si="28"/>
        <v>8.2339951377633707</v>
      </c>
      <c r="AL88" s="15">
        <f t="shared" si="29"/>
        <v>0.35204081632653061</v>
      </c>
    </row>
    <row r="89" spans="1:38" x14ac:dyDescent="0.35">
      <c r="A89" s="1" t="s">
        <v>20</v>
      </c>
      <c r="B89" s="6" t="s">
        <v>34</v>
      </c>
      <c r="C89" s="1">
        <v>8</v>
      </c>
      <c r="D89" s="1" t="s">
        <v>49</v>
      </c>
      <c r="E89" s="2">
        <v>175</v>
      </c>
      <c r="F89" s="2">
        <v>169.9</v>
      </c>
      <c r="G89" s="2">
        <f t="shared" si="15"/>
        <v>5.0999999999999943</v>
      </c>
      <c r="H89" s="3">
        <f>E89*K89</f>
        <v>25375</v>
      </c>
      <c r="I89" s="3">
        <f>F89*L89</f>
        <v>22596.7</v>
      </c>
      <c r="J89" s="19">
        <f t="shared" si="16"/>
        <v>0.12295158142560636</v>
      </c>
      <c r="K89" s="4">
        <v>145</v>
      </c>
      <c r="L89" s="4">
        <v>133</v>
      </c>
      <c r="M89" s="19">
        <f t="shared" si="17"/>
        <v>9.0225563909774431E-2</v>
      </c>
      <c r="N89" s="3">
        <f>E89*Q89</f>
        <v>18900</v>
      </c>
      <c r="O89" s="3">
        <f>F89*R89</f>
        <v>16990</v>
      </c>
      <c r="P89" s="19">
        <f t="shared" si="18"/>
        <v>0.11241907004120071</v>
      </c>
      <c r="Q89" s="1">
        <v>108</v>
      </c>
      <c r="R89" s="1">
        <v>100</v>
      </c>
      <c r="S89" s="19">
        <f t="shared" si="19"/>
        <v>0.08</v>
      </c>
      <c r="T89" s="1">
        <v>4971</v>
      </c>
      <c r="U89" s="1">
        <v>4046</v>
      </c>
      <c r="V89" s="19">
        <f t="shared" si="20"/>
        <v>0.22862086010874938</v>
      </c>
      <c r="W89" s="1">
        <v>98</v>
      </c>
      <c r="X89" s="1">
        <v>95</v>
      </c>
      <c r="Y89" s="19">
        <f t="shared" si="21"/>
        <v>3.1578947368421054E-2</v>
      </c>
      <c r="Z89" s="1">
        <v>3.9</v>
      </c>
      <c r="AA89" s="17">
        <f>X89/U89</f>
        <v>2.347998022738507E-2</v>
      </c>
      <c r="AB89" s="17">
        <f>W89/T89</f>
        <v>1.971434319050493E-2</v>
      </c>
      <c r="AC89" s="17">
        <f t="shared" si="22"/>
        <v>-0.16037649948649524</v>
      </c>
      <c r="AD89" s="18">
        <f>O89/X89</f>
        <v>178.84210526315789</v>
      </c>
      <c r="AE89" s="18">
        <f>N89/W89</f>
        <v>192.85714285714286</v>
      </c>
      <c r="AF89" s="16">
        <f t="shared" si="23"/>
        <v>7.8365425039939512E-2</v>
      </c>
      <c r="AG89">
        <f t="shared" si="24"/>
        <v>169.9</v>
      </c>
      <c r="AH89">
        <f t="shared" si="25"/>
        <v>175</v>
      </c>
      <c r="AI89" s="16">
        <f t="shared" si="26"/>
        <v>3.0017657445556175E-2</v>
      </c>
      <c r="AJ89" s="18">
        <f t="shared" si="27"/>
        <v>8.9066586199959765</v>
      </c>
      <c r="AK89" s="18">
        <f t="shared" si="28"/>
        <v>9.7841571922886796</v>
      </c>
      <c r="AL89" s="15">
        <f t="shared" si="29"/>
        <v>0.5731225296442688</v>
      </c>
    </row>
    <row r="90" spans="1:38" x14ac:dyDescent="0.35">
      <c r="A90" s="1" t="s">
        <v>20</v>
      </c>
      <c r="B90" s="6" t="s">
        <v>35</v>
      </c>
      <c r="C90" s="1">
        <v>9</v>
      </c>
      <c r="D90" s="1" t="s">
        <v>49</v>
      </c>
      <c r="E90" s="2">
        <v>139</v>
      </c>
      <c r="F90" s="2">
        <v>119</v>
      </c>
      <c r="G90" s="2">
        <f t="shared" si="15"/>
        <v>20</v>
      </c>
      <c r="H90" s="3">
        <f>E90*K90</f>
        <v>13900</v>
      </c>
      <c r="I90" s="3">
        <f>F90*L90</f>
        <v>11305</v>
      </c>
      <c r="J90" s="19">
        <f t="shared" si="16"/>
        <v>0.22954444935869084</v>
      </c>
      <c r="K90" s="4">
        <v>100</v>
      </c>
      <c r="L90" s="4">
        <v>95</v>
      </c>
      <c r="M90" s="19">
        <f t="shared" si="17"/>
        <v>5.2631578947368418E-2</v>
      </c>
      <c r="N90" s="3">
        <f>E90*Q90</f>
        <v>16402</v>
      </c>
      <c r="O90" s="3">
        <f>F90*R90</f>
        <v>14637</v>
      </c>
      <c r="P90" s="19">
        <f t="shared" si="18"/>
        <v>0.12058481929357109</v>
      </c>
      <c r="Q90" s="1">
        <v>118</v>
      </c>
      <c r="R90" s="1">
        <v>123</v>
      </c>
      <c r="S90" s="19">
        <f t="shared" si="19"/>
        <v>-4.065040650406504E-2</v>
      </c>
      <c r="T90" s="1">
        <v>8243</v>
      </c>
      <c r="U90" s="1">
        <v>9522</v>
      </c>
      <c r="V90" s="19">
        <f t="shared" si="20"/>
        <v>-0.13432052089897081</v>
      </c>
      <c r="W90" s="1">
        <v>108</v>
      </c>
      <c r="X90" s="4">
        <v>94.38</v>
      </c>
      <c r="Y90" s="19">
        <f t="shared" si="21"/>
        <v>0.14431023521932618</v>
      </c>
      <c r="Z90" s="5">
        <v>2.5999999999999996</v>
      </c>
      <c r="AA90" s="17">
        <f>X90/U90</f>
        <v>9.9117832388153741E-3</v>
      </c>
      <c r="AB90" s="17">
        <f>W90/T90</f>
        <v>1.3102025961421812E-2</v>
      </c>
      <c r="AC90" s="17">
        <f t="shared" si="22"/>
        <v>0.3218636491275535</v>
      </c>
      <c r="AD90" s="18">
        <f>O90/X90</f>
        <v>155.08582326764144</v>
      </c>
      <c r="AE90" s="18">
        <f>N90/W90</f>
        <v>151.87037037037038</v>
      </c>
      <c r="AF90" s="16">
        <f t="shared" si="23"/>
        <v>-2.0733377361784724E-2</v>
      </c>
      <c r="AG90">
        <f t="shared" si="24"/>
        <v>119</v>
      </c>
      <c r="AH90">
        <f t="shared" si="25"/>
        <v>139</v>
      </c>
      <c r="AI90" s="16">
        <f t="shared" si="26"/>
        <v>0.16806722689075632</v>
      </c>
      <c r="AJ90" s="18">
        <f t="shared" si="27"/>
        <v>3.6760888026204053</v>
      </c>
      <c r="AK90" s="18">
        <f t="shared" si="28"/>
        <v>2.7244276412518378</v>
      </c>
      <c r="AL90" s="15">
        <f t="shared" si="29"/>
        <v>0.45871559633027525</v>
      </c>
    </row>
    <row r="91" spans="1:38" x14ac:dyDescent="0.35">
      <c r="A91" s="1" t="s">
        <v>20</v>
      </c>
      <c r="B91" s="6" t="s">
        <v>36</v>
      </c>
      <c r="C91" s="1">
        <v>10</v>
      </c>
      <c r="D91" s="1" t="s">
        <v>49</v>
      </c>
      <c r="E91" s="2">
        <v>79</v>
      </c>
      <c r="F91" s="2">
        <v>79</v>
      </c>
      <c r="G91" s="2">
        <f t="shared" si="15"/>
        <v>0</v>
      </c>
      <c r="H91" s="3">
        <f>E91*K91</f>
        <v>7663</v>
      </c>
      <c r="I91" s="3">
        <f>F91*L91</f>
        <v>7110</v>
      </c>
      <c r="J91" s="19">
        <f t="shared" si="16"/>
        <v>7.7777777777777779E-2</v>
      </c>
      <c r="K91" s="4">
        <v>97</v>
      </c>
      <c r="L91" s="4">
        <v>90</v>
      </c>
      <c r="M91" s="19">
        <f t="shared" si="17"/>
        <v>7.7777777777777779E-2</v>
      </c>
      <c r="N91" s="3">
        <f>E91*Q91</f>
        <v>6399</v>
      </c>
      <c r="O91" s="3">
        <f>F91*R91</f>
        <v>6557</v>
      </c>
      <c r="P91" s="19">
        <f t="shared" si="18"/>
        <v>-2.4096385542168676E-2</v>
      </c>
      <c r="Q91" s="1">
        <v>81</v>
      </c>
      <c r="R91" s="1">
        <v>83</v>
      </c>
      <c r="S91" s="19">
        <f t="shared" si="19"/>
        <v>-2.4096385542168676E-2</v>
      </c>
      <c r="T91" s="1">
        <v>9000</v>
      </c>
      <c r="U91" s="1">
        <v>9288</v>
      </c>
      <c r="V91" s="19">
        <f t="shared" si="20"/>
        <v>-3.1007751937984496E-2</v>
      </c>
      <c r="W91" s="1">
        <v>71</v>
      </c>
      <c r="X91" s="1">
        <v>78</v>
      </c>
      <c r="Y91" s="19">
        <f t="shared" si="21"/>
        <v>-8.9743589743589744E-2</v>
      </c>
      <c r="Z91" s="5">
        <v>2.2999999999999998</v>
      </c>
      <c r="AA91" s="17">
        <f>X91/U91</f>
        <v>8.3979328165374682E-3</v>
      </c>
      <c r="AB91" s="17">
        <f>W91/T91</f>
        <v>7.8888888888888897E-3</v>
      </c>
      <c r="AC91" s="17">
        <f t="shared" si="22"/>
        <v>-6.0615384615384564E-2</v>
      </c>
      <c r="AD91" s="18">
        <f>O91/X91</f>
        <v>84.064102564102569</v>
      </c>
      <c r="AE91" s="18">
        <f>N91/W91</f>
        <v>90.126760563380287</v>
      </c>
      <c r="AF91" s="16">
        <f t="shared" si="23"/>
        <v>7.2119463770575265E-2</v>
      </c>
      <c r="AG91">
        <f t="shared" si="24"/>
        <v>79</v>
      </c>
      <c r="AH91">
        <f t="shared" si="25"/>
        <v>79</v>
      </c>
      <c r="AI91" s="16">
        <f t="shared" si="26"/>
        <v>0</v>
      </c>
      <c r="AJ91" s="18">
        <f t="shared" si="27"/>
        <v>1.5624444444444445</v>
      </c>
      <c r="AK91" s="18">
        <f t="shared" si="28"/>
        <v>1.4714685615848406</v>
      </c>
      <c r="AL91" s="15">
        <f t="shared" si="29"/>
        <v>0.5449438202247191</v>
      </c>
    </row>
    <row r="92" spans="1:38" x14ac:dyDescent="0.35">
      <c r="A92" s="1" t="s">
        <v>20</v>
      </c>
      <c r="B92" s="6" t="s">
        <v>37</v>
      </c>
      <c r="C92" s="1">
        <v>11</v>
      </c>
      <c r="D92" s="1" t="s">
        <v>49</v>
      </c>
      <c r="E92" s="2">
        <v>149</v>
      </c>
      <c r="F92" s="2">
        <v>149</v>
      </c>
      <c r="G92" s="2">
        <f t="shared" si="15"/>
        <v>0</v>
      </c>
      <c r="H92" s="3">
        <f>E92*K92</f>
        <v>26969</v>
      </c>
      <c r="I92" s="3">
        <f>F92*L92</f>
        <v>27267</v>
      </c>
      <c r="J92" s="19">
        <f t="shared" si="16"/>
        <v>-1.092896174863388E-2</v>
      </c>
      <c r="K92" s="4">
        <v>181</v>
      </c>
      <c r="L92" s="4">
        <v>183</v>
      </c>
      <c r="M92" s="19">
        <f t="shared" si="17"/>
        <v>-1.092896174863388E-2</v>
      </c>
      <c r="N92" s="3">
        <f>E92*Q92</f>
        <v>13708</v>
      </c>
      <c r="O92" s="3">
        <f>F92*R92</f>
        <v>12665</v>
      </c>
      <c r="P92" s="19">
        <f t="shared" si="18"/>
        <v>8.2352941176470587E-2</v>
      </c>
      <c r="Q92" s="1">
        <v>92</v>
      </c>
      <c r="R92" s="1">
        <v>85</v>
      </c>
      <c r="S92" s="19">
        <f t="shared" si="19"/>
        <v>8.2352941176470587E-2</v>
      </c>
      <c r="T92" s="1">
        <v>12489</v>
      </c>
      <c r="U92" s="1">
        <v>12238</v>
      </c>
      <c r="V92" s="19">
        <f t="shared" si="20"/>
        <v>2.0509887236476548E-2</v>
      </c>
      <c r="W92" s="1">
        <v>82</v>
      </c>
      <c r="X92" s="4">
        <v>73.5</v>
      </c>
      <c r="Y92" s="19">
        <f t="shared" si="21"/>
        <v>0.11564625850340136</v>
      </c>
      <c r="Z92" s="5">
        <v>2.8</v>
      </c>
      <c r="AA92" s="17">
        <f>X92/U92</f>
        <v>6.0058833142670369E-3</v>
      </c>
      <c r="AB92" s="17">
        <f>W92/T92</f>
        <v>6.565777884538394E-3</v>
      </c>
      <c r="AC92" s="17">
        <f t="shared" si="22"/>
        <v>9.32243503534812E-2</v>
      </c>
      <c r="AD92" s="18">
        <f>O92/X92</f>
        <v>172.31292517006804</v>
      </c>
      <c r="AE92" s="18">
        <f>N92/W92</f>
        <v>167.17073170731706</v>
      </c>
      <c r="AF92" s="16">
        <f t="shared" si="23"/>
        <v>-2.984218077474908E-2</v>
      </c>
      <c r="AG92">
        <f t="shared" si="24"/>
        <v>149</v>
      </c>
      <c r="AH92">
        <f t="shared" si="25"/>
        <v>149</v>
      </c>
      <c r="AI92" s="16">
        <f t="shared" si="26"/>
        <v>0</v>
      </c>
      <c r="AJ92" s="18">
        <f t="shared" si="27"/>
        <v>3.2570261830410763</v>
      </c>
      <c r="AK92" s="18">
        <f t="shared" si="28"/>
        <v>3.2629514626572971</v>
      </c>
      <c r="AL92" s="15">
        <f t="shared" si="29"/>
        <v>0.66300366300366298</v>
      </c>
    </row>
    <row r="93" spans="1:38" x14ac:dyDescent="0.35">
      <c r="A93" s="1" t="s">
        <v>20</v>
      </c>
      <c r="B93" s="6" t="s">
        <v>38</v>
      </c>
      <c r="C93" s="1">
        <v>12</v>
      </c>
      <c r="D93" s="1" t="s">
        <v>50</v>
      </c>
      <c r="E93" s="2">
        <v>779</v>
      </c>
      <c r="F93" s="2">
        <v>649.20000000000005</v>
      </c>
      <c r="G93" s="2">
        <f t="shared" si="15"/>
        <v>129.79999999999995</v>
      </c>
      <c r="H93" s="3">
        <f>E93*K93</f>
        <v>39729</v>
      </c>
      <c r="I93" s="3">
        <f>F93*L93</f>
        <v>31161.600000000002</v>
      </c>
      <c r="J93" s="19">
        <f t="shared" si="16"/>
        <v>0.2749345348120763</v>
      </c>
      <c r="K93" s="4">
        <v>51</v>
      </c>
      <c r="L93" s="4">
        <v>48</v>
      </c>
      <c r="M93" s="19">
        <f t="shared" si="17"/>
        <v>6.25E-2</v>
      </c>
      <c r="N93" s="3">
        <f>E93*Q93</f>
        <v>35055</v>
      </c>
      <c r="O93" s="3">
        <f>F93*R93</f>
        <v>26617.200000000001</v>
      </c>
      <c r="P93" s="19">
        <f t="shared" si="18"/>
        <v>0.31700554528650643</v>
      </c>
      <c r="Q93" s="1">
        <v>45</v>
      </c>
      <c r="R93" s="1">
        <v>41</v>
      </c>
      <c r="S93" s="19">
        <f t="shared" si="19"/>
        <v>9.7560975609756101E-2</v>
      </c>
      <c r="T93" s="1">
        <v>8441</v>
      </c>
      <c r="U93" s="1">
        <v>9205</v>
      </c>
      <c r="V93" s="19">
        <f t="shared" si="20"/>
        <v>-8.2998370450841935E-2</v>
      </c>
      <c r="W93" s="1">
        <v>35</v>
      </c>
      <c r="X93" s="1">
        <v>36</v>
      </c>
      <c r="Y93" s="19">
        <f t="shared" si="21"/>
        <v>-2.7777777777777776E-2</v>
      </c>
      <c r="Z93" s="1">
        <v>4.8</v>
      </c>
      <c r="AA93" s="17">
        <f>X93/U93</f>
        <v>3.9109179793590442E-3</v>
      </c>
      <c r="AB93" s="17">
        <f>W93/T93</f>
        <v>4.1464281483236587E-3</v>
      </c>
      <c r="AC93" s="17">
        <f t="shared" si="22"/>
        <v>6.0218641814424316E-2</v>
      </c>
      <c r="AD93" s="18">
        <f>O93/X93</f>
        <v>739.36666666666667</v>
      </c>
      <c r="AE93" s="18">
        <f>N93/W93</f>
        <v>1001.5714285714286</v>
      </c>
      <c r="AF93" s="16">
        <f t="shared" si="23"/>
        <v>0.35463427515183521</v>
      </c>
      <c r="AG93">
        <f t="shared" si="24"/>
        <v>649.20000000000005</v>
      </c>
      <c r="AH93">
        <f t="shared" si="25"/>
        <v>779</v>
      </c>
      <c r="AI93" s="16">
        <f t="shared" si="26"/>
        <v>0.19993838570548358</v>
      </c>
      <c r="AJ93" s="18">
        <f t="shared" si="27"/>
        <v>8.8596137898353273</v>
      </c>
      <c r="AK93" s="18">
        <f t="shared" si="28"/>
        <v>6.2768929929386204</v>
      </c>
      <c r="AL93" s="15">
        <f t="shared" si="29"/>
        <v>0.53125</v>
      </c>
    </row>
    <row r="94" spans="1:38" x14ac:dyDescent="0.35">
      <c r="A94" s="1" t="s">
        <v>20</v>
      </c>
      <c r="B94" s="6" t="s">
        <v>39</v>
      </c>
      <c r="C94" s="1">
        <v>13</v>
      </c>
      <c r="D94" s="1" t="s">
        <v>50</v>
      </c>
      <c r="E94" s="2">
        <v>136</v>
      </c>
      <c r="F94" s="2">
        <v>136</v>
      </c>
      <c r="G94" s="2">
        <f t="shared" si="15"/>
        <v>0</v>
      </c>
      <c r="H94" s="3">
        <f>E94*K94</f>
        <v>12240</v>
      </c>
      <c r="I94" s="3">
        <f>F94*L94</f>
        <v>12240</v>
      </c>
      <c r="J94" s="19">
        <f t="shared" si="16"/>
        <v>0</v>
      </c>
      <c r="K94" s="4">
        <v>90</v>
      </c>
      <c r="L94" s="4">
        <v>90</v>
      </c>
      <c r="M94" s="19">
        <f t="shared" si="17"/>
        <v>0</v>
      </c>
      <c r="N94" s="3">
        <f>E94*Q94</f>
        <v>15096</v>
      </c>
      <c r="O94" s="3">
        <f>F94*R94</f>
        <v>13872</v>
      </c>
      <c r="P94" s="19">
        <f t="shared" si="18"/>
        <v>8.8235294117647065E-2</v>
      </c>
      <c r="Q94" s="1">
        <v>111</v>
      </c>
      <c r="R94" s="1">
        <v>102</v>
      </c>
      <c r="S94" s="19">
        <f t="shared" si="19"/>
        <v>8.8235294117647065E-2</v>
      </c>
      <c r="T94" s="1">
        <v>3871</v>
      </c>
      <c r="U94" s="1">
        <v>3993</v>
      </c>
      <c r="V94" s="19">
        <f t="shared" si="20"/>
        <v>-3.0553468569997494E-2</v>
      </c>
      <c r="W94" s="1">
        <v>101</v>
      </c>
      <c r="X94" s="4">
        <v>79.300000000000011</v>
      </c>
      <c r="Y94" s="19">
        <f t="shared" si="21"/>
        <v>0.27364438839848659</v>
      </c>
      <c r="Z94" s="5">
        <v>2.8</v>
      </c>
      <c r="AA94" s="17">
        <f>X94/U94</f>
        <v>1.9859754570498375E-2</v>
      </c>
      <c r="AB94" s="17">
        <f>W94/T94</f>
        <v>2.6091449237923017E-2</v>
      </c>
      <c r="AC94" s="17">
        <f t="shared" si="22"/>
        <v>0.31378507953375279</v>
      </c>
      <c r="AD94" s="18">
        <f>O94/X94</f>
        <v>174.93064312736442</v>
      </c>
      <c r="AE94" s="18">
        <f>N94/W94</f>
        <v>149.46534653465346</v>
      </c>
      <c r="AF94" s="16">
        <f t="shared" si="23"/>
        <v>-0.1455736750145602</v>
      </c>
      <c r="AG94">
        <f t="shared" si="24"/>
        <v>136</v>
      </c>
      <c r="AH94">
        <f t="shared" si="25"/>
        <v>136</v>
      </c>
      <c r="AI94" s="16">
        <f t="shared" si="26"/>
        <v>0</v>
      </c>
      <c r="AJ94" s="18">
        <f t="shared" si="27"/>
        <v>7.0617411521570652</v>
      </c>
      <c r="AK94" s="18">
        <f t="shared" si="28"/>
        <v>6.5394440270473329</v>
      </c>
      <c r="AL94" s="15">
        <f t="shared" si="29"/>
        <v>0.44776119402985076</v>
      </c>
    </row>
    <row r="95" spans="1:38" x14ac:dyDescent="0.35">
      <c r="A95" s="1" t="s">
        <v>20</v>
      </c>
      <c r="B95" s="6" t="s">
        <v>40</v>
      </c>
      <c r="C95" s="1">
        <v>14</v>
      </c>
      <c r="D95" s="1" t="s">
        <v>50</v>
      </c>
      <c r="E95" s="2">
        <v>249</v>
      </c>
      <c r="F95" s="2">
        <v>249</v>
      </c>
      <c r="G95" s="2">
        <f t="shared" si="15"/>
        <v>0</v>
      </c>
      <c r="H95" s="3">
        <f>E95*K95</f>
        <v>37350</v>
      </c>
      <c r="I95" s="3">
        <f>F95*L95</f>
        <v>38346</v>
      </c>
      <c r="J95" s="19">
        <f t="shared" si="16"/>
        <v>-2.5974025974025976E-2</v>
      </c>
      <c r="K95" s="4">
        <v>150</v>
      </c>
      <c r="L95" s="4">
        <v>154</v>
      </c>
      <c r="M95" s="19">
        <f t="shared" si="17"/>
        <v>-2.5974025974025976E-2</v>
      </c>
      <c r="N95" s="3">
        <f>E95*Q95</f>
        <v>15687</v>
      </c>
      <c r="O95" s="3">
        <f>F95*R95</f>
        <v>15189</v>
      </c>
      <c r="P95" s="19">
        <f t="shared" si="18"/>
        <v>3.2786885245901641E-2</v>
      </c>
      <c r="Q95" s="1">
        <v>63</v>
      </c>
      <c r="R95" s="1">
        <v>61</v>
      </c>
      <c r="S95" s="19">
        <f t="shared" si="19"/>
        <v>3.2786885245901641E-2</v>
      </c>
      <c r="T95" s="1">
        <v>5106</v>
      </c>
      <c r="U95" s="1">
        <v>5378</v>
      </c>
      <c r="V95" s="19">
        <f t="shared" si="20"/>
        <v>-5.0576422461881737E-2</v>
      </c>
      <c r="W95" s="1">
        <v>53</v>
      </c>
      <c r="X95" s="1">
        <v>56</v>
      </c>
      <c r="Y95" s="19">
        <f t="shared" si="21"/>
        <v>-5.3571428571428568E-2</v>
      </c>
      <c r="Z95" s="1">
        <v>4</v>
      </c>
      <c r="AA95" s="17">
        <f>X95/U95</f>
        <v>1.0412792859799182E-2</v>
      </c>
      <c r="AB95" s="17">
        <f>W95/T95</f>
        <v>1.0379945162553859E-2</v>
      </c>
      <c r="AC95" s="17">
        <f t="shared" si="22"/>
        <v>-3.1545520675954858E-3</v>
      </c>
      <c r="AD95" s="18">
        <f>O95/X95</f>
        <v>271.23214285714283</v>
      </c>
      <c r="AE95" s="18">
        <f>N95/W95</f>
        <v>295.98113207547169</v>
      </c>
      <c r="AF95" s="16">
        <f t="shared" si="23"/>
        <v>9.1246520259820676E-2</v>
      </c>
      <c r="AG95">
        <f t="shared" si="24"/>
        <v>249</v>
      </c>
      <c r="AH95">
        <f t="shared" si="25"/>
        <v>249</v>
      </c>
      <c r="AI95" s="16">
        <f t="shared" si="26"/>
        <v>0</v>
      </c>
      <c r="AJ95" s="18">
        <f t="shared" si="27"/>
        <v>10.387191539365453</v>
      </c>
      <c r="AK95" s="18">
        <f t="shared" si="28"/>
        <v>9.9544440312383777</v>
      </c>
      <c r="AL95" s="15">
        <f t="shared" si="29"/>
        <v>0.70422535211267601</v>
      </c>
    </row>
    <row r="96" spans="1:38" x14ac:dyDescent="0.35">
      <c r="A96" s="1" t="s">
        <v>20</v>
      </c>
      <c r="B96" s="6" t="s">
        <v>41</v>
      </c>
      <c r="C96" s="1">
        <v>15</v>
      </c>
      <c r="D96" s="1" t="s">
        <v>50</v>
      </c>
      <c r="E96" s="2">
        <v>155</v>
      </c>
      <c r="F96" s="2">
        <v>155</v>
      </c>
      <c r="G96" s="2">
        <f t="shared" si="15"/>
        <v>0</v>
      </c>
      <c r="H96" s="3">
        <f>E96*K96</f>
        <v>18135</v>
      </c>
      <c r="I96" s="3">
        <f>F96*L96</f>
        <v>17515</v>
      </c>
      <c r="J96" s="19">
        <f t="shared" si="16"/>
        <v>3.5398230088495575E-2</v>
      </c>
      <c r="K96" s="4">
        <v>117</v>
      </c>
      <c r="L96" s="4">
        <v>113</v>
      </c>
      <c r="M96" s="19">
        <f t="shared" si="17"/>
        <v>3.5398230088495575E-2</v>
      </c>
      <c r="N96" s="3">
        <f>E96*Q96</f>
        <v>4960</v>
      </c>
      <c r="O96" s="3">
        <f>F96*R96</f>
        <v>4650</v>
      </c>
      <c r="P96" s="19">
        <f t="shared" si="18"/>
        <v>6.6666666666666666E-2</v>
      </c>
      <c r="Q96" s="1">
        <v>32</v>
      </c>
      <c r="R96" s="1">
        <v>30</v>
      </c>
      <c r="S96" s="19">
        <f t="shared" si="19"/>
        <v>6.6666666666666666E-2</v>
      </c>
      <c r="T96" s="1">
        <v>12913</v>
      </c>
      <c r="U96" s="1">
        <v>13675</v>
      </c>
      <c r="V96" s="19">
        <f t="shared" si="20"/>
        <v>-5.5722120658135282E-2</v>
      </c>
      <c r="W96" s="1">
        <v>35</v>
      </c>
      <c r="X96" s="4">
        <v>33.5</v>
      </c>
      <c r="Y96" s="19">
        <f t="shared" si="21"/>
        <v>4.4776119402985072E-2</v>
      </c>
      <c r="Z96" s="5">
        <v>4.3</v>
      </c>
      <c r="AA96" s="17">
        <f>X96/U96</f>
        <v>2.4497257769652649E-3</v>
      </c>
      <c r="AB96" s="17">
        <f>W96/T96</f>
        <v>2.7104468365213349E-3</v>
      </c>
      <c r="AC96" s="17">
        <f t="shared" si="22"/>
        <v>0.10642867132624646</v>
      </c>
      <c r="AD96" s="18">
        <f>O96/X96</f>
        <v>138.80597014925374</v>
      </c>
      <c r="AE96" s="18">
        <f>N96/W96</f>
        <v>141.71428571428572</v>
      </c>
      <c r="AF96" s="16">
        <f t="shared" si="23"/>
        <v>2.0952380952380958E-2</v>
      </c>
      <c r="AG96">
        <f t="shared" si="24"/>
        <v>155</v>
      </c>
      <c r="AH96">
        <f t="shared" si="25"/>
        <v>155</v>
      </c>
      <c r="AI96" s="16">
        <f t="shared" si="26"/>
        <v>0</v>
      </c>
      <c r="AJ96" s="18">
        <f t="shared" si="27"/>
        <v>1.7885077054131495</v>
      </c>
      <c r="AK96" s="18">
        <f t="shared" si="28"/>
        <v>1.6208409506398538</v>
      </c>
      <c r="AL96" s="15">
        <f t="shared" si="29"/>
        <v>0.78523489932885904</v>
      </c>
    </row>
    <row r="97" spans="1:38" x14ac:dyDescent="0.35">
      <c r="A97" s="1" t="s">
        <v>20</v>
      </c>
      <c r="B97" s="6" t="s">
        <v>42</v>
      </c>
      <c r="C97" s="1">
        <v>16</v>
      </c>
      <c r="D97" s="1" t="s">
        <v>50</v>
      </c>
      <c r="E97" s="2">
        <v>627</v>
      </c>
      <c r="F97" s="2">
        <v>627</v>
      </c>
      <c r="G97" s="2">
        <f t="shared" si="15"/>
        <v>0</v>
      </c>
      <c r="H97" s="3">
        <f>E97*K97</f>
        <v>42636</v>
      </c>
      <c r="I97" s="3">
        <f>F97*L97</f>
        <v>42009</v>
      </c>
      <c r="J97" s="19">
        <f t="shared" si="16"/>
        <v>1.4925373134328358E-2</v>
      </c>
      <c r="K97" s="4">
        <v>68</v>
      </c>
      <c r="L97" s="4">
        <v>67</v>
      </c>
      <c r="M97" s="19">
        <f t="shared" si="17"/>
        <v>1.4925373134328358E-2</v>
      </c>
      <c r="N97" s="3">
        <f>E97*Q97</f>
        <v>52668</v>
      </c>
      <c r="O97" s="3">
        <f>F97*R97</f>
        <v>47025</v>
      </c>
      <c r="P97" s="19">
        <f t="shared" si="18"/>
        <v>0.12</v>
      </c>
      <c r="Q97" s="1">
        <v>84</v>
      </c>
      <c r="R97" s="1">
        <v>75</v>
      </c>
      <c r="S97" s="19">
        <f t="shared" si="19"/>
        <v>0.12</v>
      </c>
      <c r="T97" s="1">
        <v>4841</v>
      </c>
      <c r="U97" s="1">
        <v>4634</v>
      </c>
      <c r="V97" s="19">
        <f t="shared" si="20"/>
        <v>4.4669831678895121E-2</v>
      </c>
      <c r="W97" s="1">
        <v>74</v>
      </c>
      <c r="X97" s="1">
        <v>70</v>
      </c>
      <c r="Y97" s="19">
        <f t="shared" si="21"/>
        <v>5.7142857142857141E-2</v>
      </c>
      <c r="Z97" s="1">
        <v>4</v>
      </c>
      <c r="AA97" s="17">
        <f>X97/U97</f>
        <v>1.5105740181268883E-2</v>
      </c>
      <c r="AB97" s="17">
        <f>W97/T97</f>
        <v>1.5286097913654203E-2</v>
      </c>
      <c r="AC97" s="17">
        <f t="shared" si="22"/>
        <v>1.1939681883908173E-2</v>
      </c>
      <c r="AD97" s="18">
        <f>O97/X97</f>
        <v>671.78571428571433</v>
      </c>
      <c r="AE97" s="18">
        <f>N97/W97</f>
        <v>711.72972972972968</v>
      </c>
      <c r="AF97" s="16">
        <f t="shared" si="23"/>
        <v>5.9459459459459317E-2</v>
      </c>
      <c r="AG97">
        <f t="shared" si="24"/>
        <v>627</v>
      </c>
      <c r="AH97">
        <f t="shared" si="25"/>
        <v>627</v>
      </c>
      <c r="AI97" s="16">
        <f t="shared" si="26"/>
        <v>0</v>
      </c>
      <c r="AJ97" s="18">
        <f t="shared" si="27"/>
        <v>19.686841561660813</v>
      </c>
      <c r="AK97" s="18">
        <f t="shared" si="28"/>
        <v>19.213206732844196</v>
      </c>
      <c r="AL97" s="15">
        <f t="shared" si="29"/>
        <v>0.44736842105263158</v>
      </c>
    </row>
    <row r="98" spans="1:38" x14ac:dyDescent="0.35">
      <c r="A98" s="1" t="s">
        <v>20</v>
      </c>
      <c r="B98" s="6" t="s">
        <v>43</v>
      </c>
      <c r="C98" s="1">
        <v>17</v>
      </c>
      <c r="D98" s="1" t="s">
        <v>50</v>
      </c>
      <c r="E98" s="2">
        <v>179</v>
      </c>
      <c r="F98" s="2">
        <v>169</v>
      </c>
      <c r="G98" s="2">
        <f t="shared" si="15"/>
        <v>10</v>
      </c>
      <c r="H98" s="3">
        <f>E98*K98</f>
        <v>36158</v>
      </c>
      <c r="I98" s="3">
        <f>F98*L98</f>
        <v>30420</v>
      </c>
      <c r="J98" s="19">
        <f t="shared" si="16"/>
        <v>0.1886259040105194</v>
      </c>
      <c r="K98" s="4">
        <v>202</v>
      </c>
      <c r="L98" s="4">
        <v>180</v>
      </c>
      <c r="M98" s="19">
        <f t="shared" si="17"/>
        <v>0.12222222222222222</v>
      </c>
      <c r="N98" s="3">
        <f>E98*Q98</f>
        <v>5728</v>
      </c>
      <c r="O98" s="3">
        <f>F98*R98</f>
        <v>5070</v>
      </c>
      <c r="P98" s="19">
        <f t="shared" si="18"/>
        <v>0.12978303747534517</v>
      </c>
      <c r="Q98" s="1">
        <v>32</v>
      </c>
      <c r="R98" s="1">
        <v>30</v>
      </c>
      <c r="S98" s="19">
        <f t="shared" si="19"/>
        <v>6.6666666666666666E-2</v>
      </c>
      <c r="T98" s="1">
        <v>11041</v>
      </c>
      <c r="U98" s="1">
        <v>10788</v>
      </c>
      <c r="V98" s="19">
        <f t="shared" si="20"/>
        <v>2.3451983685576567E-2</v>
      </c>
      <c r="W98" s="1">
        <v>36</v>
      </c>
      <c r="X98" s="4">
        <v>35</v>
      </c>
      <c r="Y98" s="19">
        <f t="shared" si="21"/>
        <v>2.8571428571428571E-2</v>
      </c>
      <c r="Z98" s="1">
        <v>4.4000000000000004</v>
      </c>
      <c r="AA98" s="17">
        <f>X98/U98</f>
        <v>3.2443455691509083E-3</v>
      </c>
      <c r="AB98" s="17">
        <f>W98/T98</f>
        <v>3.2605742233493343E-3</v>
      </c>
      <c r="AC98" s="17">
        <f t="shared" si="22"/>
        <v>5.002134899789127E-3</v>
      </c>
      <c r="AD98" s="18">
        <f>O98/X98</f>
        <v>144.85714285714286</v>
      </c>
      <c r="AE98" s="18">
        <f>N98/W98</f>
        <v>159.11111111111111</v>
      </c>
      <c r="AF98" s="16">
        <f t="shared" si="23"/>
        <v>9.8400175323252237E-2</v>
      </c>
      <c r="AG98">
        <f t="shared" si="24"/>
        <v>169</v>
      </c>
      <c r="AH98">
        <f t="shared" si="25"/>
        <v>179</v>
      </c>
      <c r="AI98" s="16">
        <f t="shared" si="26"/>
        <v>5.9171597633136092E-2</v>
      </c>
      <c r="AJ98" s="18">
        <f t="shared" si="27"/>
        <v>3.7936781088669504</v>
      </c>
      <c r="AK98" s="18">
        <f t="shared" si="28"/>
        <v>3.2897664071190214</v>
      </c>
      <c r="AL98" s="15">
        <f t="shared" si="29"/>
        <v>0.86324786324786329</v>
      </c>
    </row>
    <row r="99" spans="1:38" x14ac:dyDescent="0.35">
      <c r="A99" s="1" t="s">
        <v>20</v>
      </c>
      <c r="B99" s="6" t="s">
        <v>44</v>
      </c>
      <c r="C99" s="1">
        <v>18</v>
      </c>
      <c r="D99" s="1" t="s">
        <v>50</v>
      </c>
      <c r="E99" s="2">
        <v>475</v>
      </c>
      <c r="F99" s="2">
        <v>475</v>
      </c>
      <c r="G99" s="2">
        <f t="shared" si="15"/>
        <v>0</v>
      </c>
      <c r="H99" s="3">
        <f>E99*K99</f>
        <v>79800</v>
      </c>
      <c r="I99" s="3">
        <f>F99*L99</f>
        <v>78850</v>
      </c>
      <c r="J99" s="19">
        <f t="shared" si="16"/>
        <v>1.2048192771084338E-2</v>
      </c>
      <c r="K99" s="4">
        <v>168</v>
      </c>
      <c r="L99" s="4">
        <v>166</v>
      </c>
      <c r="M99" s="19">
        <f t="shared" si="17"/>
        <v>1.2048192771084338E-2</v>
      </c>
      <c r="N99" s="3">
        <f>E99*Q99</f>
        <v>43700</v>
      </c>
      <c r="O99" s="3">
        <f>F99*R99</f>
        <v>44175</v>
      </c>
      <c r="P99" s="19">
        <f t="shared" si="18"/>
        <v>-1.0752688172043012E-2</v>
      </c>
      <c r="Q99" s="1">
        <v>92</v>
      </c>
      <c r="R99" s="1">
        <v>93</v>
      </c>
      <c r="S99" s="19">
        <f t="shared" si="19"/>
        <v>-1.0752688172043012E-2</v>
      </c>
      <c r="T99" s="1">
        <v>11198</v>
      </c>
      <c r="U99" s="1">
        <v>10463</v>
      </c>
      <c r="V99" s="19">
        <f t="shared" si="20"/>
        <v>7.024753894676479E-2</v>
      </c>
      <c r="W99" s="1">
        <v>82</v>
      </c>
      <c r="X99" s="4">
        <v>79.099999999999994</v>
      </c>
      <c r="Y99" s="19">
        <f t="shared" si="21"/>
        <v>3.6662452591656208E-2</v>
      </c>
      <c r="Z99" s="1">
        <v>4.8</v>
      </c>
      <c r="AA99" s="17">
        <f>X99/U99</f>
        <v>7.5599732390327816E-3</v>
      </c>
      <c r="AB99" s="17">
        <f>W99/T99</f>
        <v>7.3227362028933738E-3</v>
      </c>
      <c r="AC99" s="17">
        <f t="shared" si="22"/>
        <v>-3.1380671417530016E-2</v>
      </c>
      <c r="AD99" s="18">
        <f>O99/X99</f>
        <v>558.47029077117577</v>
      </c>
      <c r="AE99" s="18">
        <f>N99/W99</f>
        <v>532.92682926829264</v>
      </c>
      <c r="AF99" s="16">
        <f t="shared" si="23"/>
        <v>-4.5738263834251405E-2</v>
      </c>
      <c r="AG99">
        <f t="shared" si="24"/>
        <v>475</v>
      </c>
      <c r="AH99">
        <f t="shared" si="25"/>
        <v>475</v>
      </c>
      <c r="AI99" s="16">
        <f t="shared" si="26"/>
        <v>0</v>
      </c>
      <c r="AJ99" s="18">
        <f t="shared" si="27"/>
        <v>11.028755134845508</v>
      </c>
      <c r="AK99" s="18">
        <f t="shared" si="28"/>
        <v>11.758099971327535</v>
      </c>
      <c r="AL99" s="15">
        <f t="shared" si="29"/>
        <v>0.64615384615384619</v>
      </c>
    </row>
    <row r="100" spans="1:38" x14ac:dyDescent="0.35">
      <c r="A100" s="1" t="s">
        <v>20</v>
      </c>
      <c r="B100" s="6" t="s">
        <v>45</v>
      </c>
      <c r="C100" s="1">
        <v>19</v>
      </c>
      <c r="D100" s="1" t="s">
        <v>50</v>
      </c>
      <c r="E100" s="2">
        <v>180</v>
      </c>
      <c r="F100" s="2">
        <v>160</v>
      </c>
      <c r="G100" s="2">
        <f t="shared" si="15"/>
        <v>20</v>
      </c>
      <c r="H100" s="3">
        <f>E100*K100</f>
        <v>25920</v>
      </c>
      <c r="I100" s="3">
        <f>F100*L100</f>
        <v>23040</v>
      </c>
      <c r="J100" s="19">
        <f t="shared" si="16"/>
        <v>0.125</v>
      </c>
      <c r="K100" s="4">
        <v>144</v>
      </c>
      <c r="L100" s="4">
        <v>144</v>
      </c>
      <c r="M100" s="19">
        <f t="shared" si="17"/>
        <v>0</v>
      </c>
      <c r="N100" s="3">
        <f>E100*Q100</f>
        <v>23220</v>
      </c>
      <c r="O100" s="3">
        <f>F100*R100</f>
        <v>18560</v>
      </c>
      <c r="P100" s="19">
        <f t="shared" si="18"/>
        <v>0.25107758620689657</v>
      </c>
      <c r="Q100" s="1">
        <v>129</v>
      </c>
      <c r="R100" s="1">
        <v>116</v>
      </c>
      <c r="S100" s="19">
        <f t="shared" si="19"/>
        <v>0.11206896551724138</v>
      </c>
      <c r="T100" s="1">
        <v>12587</v>
      </c>
      <c r="U100" s="1">
        <v>13052</v>
      </c>
      <c r="V100" s="19">
        <f t="shared" si="20"/>
        <v>-3.5626723873735826E-2</v>
      </c>
      <c r="W100" s="1">
        <v>119</v>
      </c>
      <c r="X100" s="4">
        <v>95.2</v>
      </c>
      <c r="Y100" s="19">
        <f t="shared" si="21"/>
        <v>0.24999999999999997</v>
      </c>
      <c r="Z100" s="1">
        <v>4.0999999999999996</v>
      </c>
      <c r="AA100" s="17">
        <f>X100/U100</f>
        <v>7.2939013178057004E-3</v>
      </c>
      <c r="AB100" s="17">
        <f>W100/T100</f>
        <v>9.4541987765154531E-3</v>
      </c>
      <c r="AC100" s="17">
        <f t="shared" si="22"/>
        <v>0.29617859696512283</v>
      </c>
      <c r="AD100" s="18">
        <f>O100/X100</f>
        <v>194.9579831932773</v>
      </c>
      <c r="AE100" s="18">
        <f>N100/W100</f>
        <v>195.12605042016807</v>
      </c>
      <c r="AF100" s="16">
        <f t="shared" si="23"/>
        <v>8.620689655173113E-4</v>
      </c>
      <c r="AG100">
        <f t="shared" si="24"/>
        <v>160</v>
      </c>
      <c r="AH100">
        <f t="shared" si="25"/>
        <v>180</v>
      </c>
      <c r="AI100" s="16">
        <f t="shared" si="26"/>
        <v>0.125</v>
      </c>
      <c r="AJ100" s="18">
        <f t="shared" si="27"/>
        <v>3.9040279653610868</v>
      </c>
      <c r="AK100" s="18">
        <f t="shared" si="28"/>
        <v>3.1872509960159361</v>
      </c>
      <c r="AL100" s="15">
        <f t="shared" si="29"/>
        <v>0.52747252747252749</v>
      </c>
    </row>
    <row r="101" spans="1:38" x14ac:dyDescent="0.35">
      <c r="A101" s="1" t="s">
        <v>20</v>
      </c>
      <c r="B101" s="6" t="s">
        <v>46</v>
      </c>
      <c r="C101" s="1">
        <v>20</v>
      </c>
      <c r="D101" s="1" t="s">
        <v>50</v>
      </c>
      <c r="E101" s="2">
        <v>475</v>
      </c>
      <c r="F101" s="2">
        <v>475</v>
      </c>
      <c r="G101" s="2">
        <f t="shared" si="15"/>
        <v>0</v>
      </c>
      <c r="H101" s="3">
        <f>E101*K101</f>
        <v>72200</v>
      </c>
      <c r="I101" s="3">
        <f>F101*L101</f>
        <v>74575</v>
      </c>
      <c r="J101" s="19">
        <f t="shared" si="16"/>
        <v>-3.1847133757961783E-2</v>
      </c>
      <c r="K101" s="4">
        <v>152</v>
      </c>
      <c r="L101" s="4">
        <v>157</v>
      </c>
      <c r="M101" s="19">
        <f t="shared" si="17"/>
        <v>-3.1847133757961783E-2</v>
      </c>
      <c r="N101" s="3">
        <f>E101*Q101</f>
        <v>39425</v>
      </c>
      <c r="O101" s="3">
        <f>F101*R101</f>
        <v>39425</v>
      </c>
      <c r="P101" s="19">
        <f t="shared" si="18"/>
        <v>0</v>
      </c>
      <c r="Q101" s="1">
        <v>83</v>
      </c>
      <c r="R101" s="1">
        <v>83</v>
      </c>
      <c r="S101" s="19">
        <f t="shared" si="19"/>
        <v>0</v>
      </c>
      <c r="T101" s="1">
        <v>3554</v>
      </c>
      <c r="U101" s="1">
        <v>3029</v>
      </c>
      <c r="V101" s="19">
        <f t="shared" si="20"/>
        <v>0.17332452954770552</v>
      </c>
      <c r="W101" s="1">
        <v>73</v>
      </c>
      <c r="X101" s="1">
        <v>78</v>
      </c>
      <c r="Y101" s="19">
        <f t="shared" si="21"/>
        <v>-6.4102564102564097E-2</v>
      </c>
      <c r="Z101" s="5">
        <v>4.0999999999999996</v>
      </c>
      <c r="AA101" s="17">
        <f>X101/U101</f>
        <v>2.575107296137339E-2</v>
      </c>
      <c r="AB101" s="17">
        <f>W101/T101</f>
        <v>2.0540236353404615E-2</v>
      </c>
      <c r="AC101" s="17">
        <f t="shared" si="22"/>
        <v>-0.20235415494278747</v>
      </c>
      <c r="AD101" s="18">
        <f>O101/X101</f>
        <v>505.44871794871796</v>
      </c>
      <c r="AE101" s="18">
        <f>N101/W101</f>
        <v>540.06849315068496</v>
      </c>
      <c r="AF101" s="16">
        <f t="shared" si="23"/>
        <v>6.8493150684931545E-2</v>
      </c>
      <c r="AG101">
        <f t="shared" si="24"/>
        <v>475</v>
      </c>
      <c r="AH101">
        <f t="shared" si="25"/>
        <v>475</v>
      </c>
      <c r="AI101" s="16">
        <f t="shared" si="26"/>
        <v>0</v>
      </c>
      <c r="AJ101" s="18">
        <f t="shared" si="27"/>
        <v>31.408272369161509</v>
      </c>
      <c r="AK101" s="18">
        <f t="shared" si="28"/>
        <v>37.636183558930341</v>
      </c>
      <c r="AL101" s="15">
        <f t="shared" si="29"/>
        <v>0.64680851063829792</v>
      </c>
    </row>
    <row r="102" spans="1:38" x14ac:dyDescent="0.35">
      <c r="A102" s="1" t="s">
        <v>21</v>
      </c>
      <c r="B102" s="1" t="s">
        <v>16</v>
      </c>
      <c r="C102" s="1">
        <v>1</v>
      </c>
      <c r="D102" s="1" t="s">
        <v>48</v>
      </c>
      <c r="E102" s="2">
        <v>279</v>
      </c>
      <c r="F102" s="2">
        <v>249</v>
      </c>
      <c r="G102" s="2">
        <f t="shared" si="15"/>
        <v>30</v>
      </c>
      <c r="H102" s="3">
        <f>E102*K102</f>
        <v>14229</v>
      </c>
      <c r="I102" s="3">
        <f>F102*L102</f>
        <v>11952</v>
      </c>
      <c r="J102" s="19">
        <f t="shared" si="16"/>
        <v>0.19051204819277109</v>
      </c>
      <c r="K102" s="4">
        <v>51</v>
      </c>
      <c r="L102" s="4">
        <v>48</v>
      </c>
      <c r="M102" s="19">
        <f t="shared" si="17"/>
        <v>6.25E-2</v>
      </c>
      <c r="N102" s="3">
        <f>E102*Q102</f>
        <v>15345</v>
      </c>
      <c r="O102" s="3">
        <f>F102*R102</f>
        <v>13197</v>
      </c>
      <c r="P102" s="19">
        <f t="shared" si="18"/>
        <v>0.16276426460559218</v>
      </c>
      <c r="Q102" s="1">
        <v>55</v>
      </c>
      <c r="R102" s="1">
        <v>53</v>
      </c>
      <c r="S102" s="19">
        <f t="shared" si="19"/>
        <v>3.7735849056603772E-2</v>
      </c>
      <c r="T102" s="1">
        <v>7946</v>
      </c>
      <c r="U102" s="1">
        <v>7218</v>
      </c>
      <c r="V102" s="19">
        <f t="shared" si="20"/>
        <v>0.10085896370185647</v>
      </c>
      <c r="W102" s="1">
        <v>45</v>
      </c>
      <c r="X102" s="1">
        <v>48</v>
      </c>
      <c r="Y102" s="19">
        <f t="shared" si="21"/>
        <v>-6.25E-2</v>
      </c>
      <c r="Z102" s="1">
        <v>4.0999999999999996</v>
      </c>
      <c r="AA102" s="17">
        <f>X102/U102</f>
        <v>6.6500415627597674E-3</v>
      </c>
      <c r="AB102" s="17">
        <f>W102/T102</f>
        <v>5.6632267807701989E-3</v>
      </c>
      <c r="AC102" s="17">
        <f t="shared" si="22"/>
        <v>-0.14839227284168136</v>
      </c>
      <c r="AD102" s="18">
        <f>O102/X102</f>
        <v>274.9375</v>
      </c>
      <c r="AE102" s="18">
        <f>N102/W102</f>
        <v>341</v>
      </c>
      <c r="AF102" s="16">
        <f t="shared" si="23"/>
        <v>0.240281882245965</v>
      </c>
      <c r="AG102">
        <f t="shared" si="24"/>
        <v>249</v>
      </c>
      <c r="AH102">
        <f t="shared" si="25"/>
        <v>279</v>
      </c>
      <c r="AI102" s="16">
        <f t="shared" si="26"/>
        <v>0.12048192771084337</v>
      </c>
      <c r="AJ102" s="18">
        <f t="shared" si="27"/>
        <v>3.7218726403221747</v>
      </c>
      <c r="AK102" s="18">
        <f t="shared" si="28"/>
        <v>3.4842061512884457</v>
      </c>
      <c r="AL102" s="15">
        <f t="shared" si="29"/>
        <v>0.48113207547169812</v>
      </c>
    </row>
    <row r="103" spans="1:38" x14ac:dyDescent="0.35">
      <c r="A103" s="1" t="s">
        <v>21</v>
      </c>
      <c r="B103" s="6" t="s">
        <v>28</v>
      </c>
      <c r="C103" s="1">
        <v>2</v>
      </c>
      <c r="D103" s="1" t="s">
        <v>48</v>
      </c>
      <c r="E103" s="2">
        <v>354</v>
      </c>
      <c r="F103" s="2">
        <v>354</v>
      </c>
      <c r="G103" s="2">
        <f t="shared" si="15"/>
        <v>0</v>
      </c>
      <c r="H103" s="3">
        <f>E103*K103</f>
        <v>72216</v>
      </c>
      <c r="I103" s="3">
        <f>F103*L103</f>
        <v>68676</v>
      </c>
      <c r="J103" s="19">
        <f t="shared" si="16"/>
        <v>5.1546391752577317E-2</v>
      </c>
      <c r="K103" s="4">
        <v>204</v>
      </c>
      <c r="L103" s="4">
        <v>194</v>
      </c>
      <c r="M103" s="19">
        <f t="shared" si="17"/>
        <v>5.1546391752577317E-2</v>
      </c>
      <c r="N103" s="3">
        <f>E103*Q103</f>
        <v>27258</v>
      </c>
      <c r="O103" s="3">
        <f>F103*R103</f>
        <v>27258</v>
      </c>
      <c r="P103" s="19">
        <f t="shared" si="18"/>
        <v>0</v>
      </c>
      <c r="Q103" s="1">
        <v>77</v>
      </c>
      <c r="R103" s="1">
        <v>77</v>
      </c>
      <c r="S103" s="19">
        <f t="shared" si="19"/>
        <v>0</v>
      </c>
      <c r="T103" s="1">
        <v>4654</v>
      </c>
      <c r="U103" s="1">
        <v>4511</v>
      </c>
      <c r="V103" s="19">
        <f t="shared" si="20"/>
        <v>3.1700288184438041E-2</v>
      </c>
      <c r="W103" s="1">
        <v>67</v>
      </c>
      <c r="X103" s="1">
        <v>72</v>
      </c>
      <c r="Y103" s="19">
        <f t="shared" si="21"/>
        <v>-6.9444444444444448E-2</v>
      </c>
      <c r="Z103" s="5">
        <v>2.5</v>
      </c>
      <c r="AA103" s="17">
        <f>X103/U103</f>
        <v>1.5960984260696077E-2</v>
      </c>
      <c r="AB103" s="17">
        <f>W103/T103</f>
        <v>1.4396218306832832E-2</v>
      </c>
      <c r="AC103" s="17">
        <f t="shared" si="22"/>
        <v>-9.8036933581626337E-2</v>
      </c>
      <c r="AD103" s="18">
        <f>O103/X103</f>
        <v>378.58333333333331</v>
      </c>
      <c r="AE103" s="18">
        <f>N103/W103</f>
        <v>406.83582089552237</v>
      </c>
      <c r="AF103" s="16">
        <f t="shared" si="23"/>
        <v>7.4626865671641812E-2</v>
      </c>
      <c r="AG103">
        <f t="shared" si="24"/>
        <v>354</v>
      </c>
      <c r="AH103">
        <f t="shared" si="25"/>
        <v>354</v>
      </c>
      <c r="AI103" s="16">
        <f t="shared" si="26"/>
        <v>0</v>
      </c>
      <c r="AJ103" s="18">
        <f t="shared" si="27"/>
        <v>21.373871938117748</v>
      </c>
      <c r="AK103" s="18">
        <f t="shared" si="28"/>
        <v>21.266681445355797</v>
      </c>
      <c r="AL103" s="15">
        <f t="shared" si="29"/>
        <v>0.72597864768683273</v>
      </c>
    </row>
    <row r="104" spans="1:38" x14ac:dyDescent="0.35">
      <c r="A104" s="1" t="s">
        <v>21</v>
      </c>
      <c r="B104" s="6" t="s">
        <v>29</v>
      </c>
      <c r="C104" s="1">
        <v>3</v>
      </c>
      <c r="D104" s="1" t="s">
        <v>48</v>
      </c>
      <c r="E104" s="2">
        <v>198</v>
      </c>
      <c r="F104" s="2">
        <v>198</v>
      </c>
      <c r="G104" s="2">
        <f t="shared" si="15"/>
        <v>0</v>
      </c>
      <c r="H104" s="3">
        <f>E104*K104</f>
        <v>31284</v>
      </c>
      <c r="I104" s="3">
        <f>F104*L104</f>
        <v>28908</v>
      </c>
      <c r="J104" s="19">
        <f t="shared" si="16"/>
        <v>8.2191780821917804E-2</v>
      </c>
      <c r="K104" s="4">
        <v>158</v>
      </c>
      <c r="L104" s="4">
        <v>146</v>
      </c>
      <c r="M104" s="19">
        <f t="shared" si="17"/>
        <v>8.2191780821917804E-2</v>
      </c>
      <c r="N104" s="3">
        <f>E104*Q104</f>
        <v>4950</v>
      </c>
      <c r="O104" s="3">
        <f>F104*R104</f>
        <v>4752</v>
      </c>
      <c r="P104" s="19">
        <f t="shared" si="18"/>
        <v>4.1666666666666664E-2</v>
      </c>
      <c r="Q104" s="1">
        <v>25</v>
      </c>
      <c r="R104" s="1">
        <v>24</v>
      </c>
      <c r="S104" s="19">
        <f t="shared" si="19"/>
        <v>4.1666666666666664E-2</v>
      </c>
      <c r="T104" s="1">
        <v>2448</v>
      </c>
      <c r="U104" s="1">
        <v>2543</v>
      </c>
      <c r="V104" s="19">
        <f t="shared" si="20"/>
        <v>-3.7357451828548958E-2</v>
      </c>
      <c r="W104" s="1">
        <v>36</v>
      </c>
      <c r="X104" s="1">
        <v>31</v>
      </c>
      <c r="Y104" s="19">
        <f t="shared" si="21"/>
        <v>0.16129032258064516</v>
      </c>
      <c r="Z104" s="5">
        <v>2.8</v>
      </c>
      <c r="AA104" s="17">
        <f>X104/U104</f>
        <v>1.2190326386158081E-2</v>
      </c>
      <c r="AB104" s="17">
        <f>W104/T104</f>
        <v>1.4705882352941176E-2</v>
      </c>
      <c r="AC104" s="17">
        <f t="shared" si="22"/>
        <v>0.20635673624288425</v>
      </c>
      <c r="AD104" s="18">
        <f>O104/X104</f>
        <v>153.29032258064515</v>
      </c>
      <c r="AE104" s="18">
        <f>N104/W104</f>
        <v>137.5</v>
      </c>
      <c r="AF104" s="16">
        <f t="shared" si="23"/>
        <v>-0.10300925925925922</v>
      </c>
      <c r="AG104">
        <f t="shared" si="24"/>
        <v>198</v>
      </c>
      <c r="AH104">
        <f t="shared" si="25"/>
        <v>198</v>
      </c>
      <c r="AI104" s="16">
        <f t="shared" si="26"/>
        <v>0</v>
      </c>
      <c r="AJ104" s="18">
        <f t="shared" si="27"/>
        <v>14.801470588235293</v>
      </c>
      <c r="AK104" s="18">
        <f t="shared" si="28"/>
        <v>13.236335037357453</v>
      </c>
      <c r="AL104" s="15">
        <f t="shared" si="29"/>
        <v>0.86338797814207646</v>
      </c>
    </row>
    <row r="105" spans="1:38" x14ac:dyDescent="0.35">
      <c r="A105" s="1" t="s">
        <v>21</v>
      </c>
      <c r="B105" s="6" t="s">
        <v>30</v>
      </c>
      <c r="C105" s="1">
        <v>4</v>
      </c>
      <c r="D105" s="1" t="s">
        <v>48</v>
      </c>
      <c r="E105" s="2">
        <v>150</v>
      </c>
      <c r="F105" s="2">
        <v>149</v>
      </c>
      <c r="G105" s="2">
        <f t="shared" si="15"/>
        <v>1</v>
      </c>
      <c r="H105" s="3">
        <f>E105*K105</f>
        <v>21600</v>
      </c>
      <c r="I105" s="3">
        <f>F105*L105</f>
        <v>20562</v>
      </c>
      <c r="J105" s="19">
        <f t="shared" si="16"/>
        <v>5.0481470674058941E-2</v>
      </c>
      <c r="K105" s="4">
        <v>144</v>
      </c>
      <c r="L105" s="4">
        <v>138</v>
      </c>
      <c r="M105" s="19">
        <f t="shared" si="17"/>
        <v>4.3478260869565216E-2</v>
      </c>
      <c r="N105" s="3">
        <f>E105*Q105</f>
        <v>7500</v>
      </c>
      <c r="O105" s="3">
        <f>F105*R105</f>
        <v>7003</v>
      </c>
      <c r="P105" s="19">
        <f t="shared" si="18"/>
        <v>7.0969584463801222E-2</v>
      </c>
      <c r="Q105" s="1">
        <v>50</v>
      </c>
      <c r="R105" s="1">
        <v>47</v>
      </c>
      <c r="S105" s="19">
        <f t="shared" si="19"/>
        <v>6.3829787234042548E-2</v>
      </c>
      <c r="T105" s="1">
        <v>10023</v>
      </c>
      <c r="U105" s="1">
        <v>10165</v>
      </c>
      <c r="V105" s="19">
        <f t="shared" si="20"/>
        <v>-1.396950319724545E-2</v>
      </c>
      <c r="W105" s="1">
        <v>40</v>
      </c>
      <c r="X105" s="1">
        <v>42</v>
      </c>
      <c r="Y105" s="19">
        <f t="shared" si="21"/>
        <v>-4.7619047619047616E-2</v>
      </c>
      <c r="Z105" s="5">
        <v>3.5</v>
      </c>
      <c r="AA105" s="17">
        <f>X105/U105</f>
        <v>4.1318248893261189E-3</v>
      </c>
      <c r="AB105" s="17">
        <f>W105/T105</f>
        <v>3.9908211114436792E-3</v>
      </c>
      <c r="AC105" s="17">
        <f t="shared" si="22"/>
        <v>-3.4126271480357129E-2</v>
      </c>
      <c r="AD105" s="18">
        <f>O105/X105</f>
        <v>166.73809523809524</v>
      </c>
      <c r="AE105" s="18">
        <f>N105/W105</f>
        <v>187.5</v>
      </c>
      <c r="AF105" s="16">
        <f t="shared" si="23"/>
        <v>0.12451806368699127</v>
      </c>
      <c r="AG105">
        <f t="shared" si="24"/>
        <v>149</v>
      </c>
      <c r="AH105">
        <f t="shared" si="25"/>
        <v>150</v>
      </c>
      <c r="AI105" s="16">
        <f t="shared" si="26"/>
        <v>6.7114093959731542E-3</v>
      </c>
      <c r="AJ105" s="18">
        <f t="shared" si="27"/>
        <v>2.9033223585752768</v>
      </c>
      <c r="AK105" s="18">
        <f t="shared" si="28"/>
        <v>2.7117560255779636</v>
      </c>
      <c r="AL105" s="15">
        <f t="shared" si="29"/>
        <v>0.74226804123711343</v>
      </c>
    </row>
    <row r="106" spans="1:38" x14ac:dyDescent="0.35">
      <c r="A106" s="1" t="s">
        <v>21</v>
      </c>
      <c r="B106" s="6" t="s">
        <v>31</v>
      </c>
      <c r="C106" s="1">
        <v>5</v>
      </c>
      <c r="D106" s="1" t="s">
        <v>48</v>
      </c>
      <c r="E106" s="2">
        <v>506</v>
      </c>
      <c r="F106" s="2">
        <v>499.9</v>
      </c>
      <c r="G106" s="2">
        <f t="shared" si="15"/>
        <v>6.1000000000000227</v>
      </c>
      <c r="H106" s="3">
        <f>E106*K106</f>
        <v>74888</v>
      </c>
      <c r="I106" s="3">
        <f>F106*L106</f>
        <v>67486.5</v>
      </c>
      <c r="J106" s="19">
        <f t="shared" si="16"/>
        <v>0.10967378660917369</v>
      </c>
      <c r="K106" s="4">
        <v>148</v>
      </c>
      <c r="L106" s="4">
        <v>135</v>
      </c>
      <c r="M106" s="19">
        <f t="shared" si="17"/>
        <v>9.6296296296296297E-2</v>
      </c>
      <c r="N106" s="3">
        <f>E106*Q106</f>
        <v>14674</v>
      </c>
      <c r="O106" s="3">
        <f>F106*R106</f>
        <v>13497.3</v>
      </c>
      <c r="P106" s="19">
        <f t="shared" si="18"/>
        <v>8.718039904277157E-2</v>
      </c>
      <c r="Q106" s="1">
        <v>29</v>
      </c>
      <c r="R106" s="1">
        <v>27</v>
      </c>
      <c r="S106" s="19">
        <f t="shared" si="19"/>
        <v>7.407407407407407E-2</v>
      </c>
      <c r="T106" s="1">
        <v>10458</v>
      </c>
      <c r="U106" s="1">
        <v>9554</v>
      </c>
      <c r="V106" s="19">
        <f t="shared" si="20"/>
        <v>9.4620054427464934E-2</v>
      </c>
      <c r="W106" s="1">
        <v>25</v>
      </c>
      <c r="X106" s="1">
        <v>36</v>
      </c>
      <c r="Y106" s="19">
        <f t="shared" si="21"/>
        <v>-0.30555555555555558</v>
      </c>
      <c r="Z106" s="5">
        <v>3.0999999999999996</v>
      </c>
      <c r="AA106" s="17">
        <f>X106/U106</f>
        <v>3.7680552648105504E-3</v>
      </c>
      <c r="AB106" s="17">
        <f>W106/T106</f>
        <v>2.3905144387072097E-3</v>
      </c>
      <c r="AC106" s="17">
        <f t="shared" si="22"/>
        <v>-0.36558402923864769</v>
      </c>
      <c r="AD106" s="18">
        <f>O106/X106</f>
        <v>374.92499999999995</v>
      </c>
      <c r="AE106" s="18">
        <f>N106/W106</f>
        <v>586.96</v>
      </c>
      <c r="AF106" s="16">
        <f t="shared" si="23"/>
        <v>0.56553977462159122</v>
      </c>
      <c r="AG106">
        <f t="shared" si="24"/>
        <v>499.9</v>
      </c>
      <c r="AH106">
        <f t="shared" si="25"/>
        <v>506</v>
      </c>
      <c r="AI106" s="16">
        <f t="shared" si="26"/>
        <v>1.2202440488097665E-2</v>
      </c>
      <c r="AJ106" s="18">
        <f t="shared" si="27"/>
        <v>8.5639701663798053</v>
      </c>
      <c r="AK106" s="18">
        <f t="shared" si="28"/>
        <v>8.4764287209545746</v>
      </c>
      <c r="AL106" s="15">
        <f t="shared" si="29"/>
        <v>0.83615819209039544</v>
      </c>
    </row>
    <row r="107" spans="1:38" x14ac:dyDescent="0.35">
      <c r="A107" s="1" t="s">
        <v>21</v>
      </c>
      <c r="B107" s="6" t="s">
        <v>32</v>
      </c>
      <c r="C107" s="1">
        <v>6</v>
      </c>
      <c r="D107" s="1" t="s">
        <v>48</v>
      </c>
      <c r="E107" s="2">
        <v>421</v>
      </c>
      <c r="F107" s="2">
        <v>399</v>
      </c>
      <c r="G107" s="2">
        <f t="shared" si="15"/>
        <v>22</v>
      </c>
      <c r="H107" s="3">
        <f>E107*K107</f>
        <v>35364</v>
      </c>
      <c r="I107" s="3">
        <f>F107*L107</f>
        <v>31521</v>
      </c>
      <c r="J107" s="19">
        <f t="shared" si="16"/>
        <v>0.12191872085276483</v>
      </c>
      <c r="K107" s="4">
        <v>84</v>
      </c>
      <c r="L107" s="4">
        <v>79</v>
      </c>
      <c r="M107" s="19">
        <f t="shared" si="17"/>
        <v>6.3291139240506333E-2</v>
      </c>
      <c r="N107" s="3">
        <f>E107*Q107</f>
        <v>48836</v>
      </c>
      <c r="O107" s="3">
        <f>F107*R107</f>
        <v>45087</v>
      </c>
      <c r="P107" s="19">
        <f t="shared" si="18"/>
        <v>8.3150353760507459E-2</v>
      </c>
      <c r="Q107" s="1">
        <v>116</v>
      </c>
      <c r="R107" s="1">
        <v>113</v>
      </c>
      <c r="S107" s="19">
        <f t="shared" si="19"/>
        <v>2.6548672566371681E-2</v>
      </c>
      <c r="T107" s="1">
        <v>2740</v>
      </c>
      <c r="U107" s="1">
        <v>2654</v>
      </c>
      <c r="V107" s="19">
        <f t="shared" si="20"/>
        <v>3.2403918613413712E-2</v>
      </c>
      <c r="W107" s="1">
        <v>106</v>
      </c>
      <c r="X107" s="4">
        <v>93.1</v>
      </c>
      <c r="Y107" s="19">
        <f t="shared" si="21"/>
        <v>0.13856068743286795</v>
      </c>
      <c r="Z107" s="1">
        <v>3.9</v>
      </c>
      <c r="AA107" s="17">
        <f>X107/U107</f>
        <v>3.5079125847776942E-2</v>
      </c>
      <c r="AB107" s="17">
        <f>W107/T107</f>
        <v>3.8686131386861312E-2</v>
      </c>
      <c r="AC107" s="17">
        <f t="shared" si="22"/>
        <v>0.10282484103898948</v>
      </c>
      <c r="AD107" s="18">
        <f>O107/X107</f>
        <v>484.28571428571433</v>
      </c>
      <c r="AE107" s="18">
        <f>N107/W107</f>
        <v>460.71698113207549</v>
      </c>
      <c r="AF107" s="16">
        <f t="shared" si="23"/>
        <v>-4.8667000612233599E-2</v>
      </c>
      <c r="AG107">
        <f t="shared" si="24"/>
        <v>399</v>
      </c>
      <c r="AH107">
        <f t="shared" si="25"/>
        <v>421</v>
      </c>
      <c r="AI107" s="16">
        <f t="shared" si="26"/>
        <v>5.5137844611528819E-2</v>
      </c>
      <c r="AJ107" s="18">
        <f t="shared" si="27"/>
        <v>30.729927007299271</v>
      </c>
      <c r="AK107" s="18">
        <f t="shared" si="28"/>
        <v>28.865109269027883</v>
      </c>
      <c r="AL107" s="15">
        <f t="shared" si="29"/>
        <v>0.42</v>
      </c>
    </row>
    <row r="108" spans="1:38" x14ac:dyDescent="0.35">
      <c r="A108" s="1" t="s">
        <v>21</v>
      </c>
      <c r="B108" s="6" t="s">
        <v>33</v>
      </c>
      <c r="C108" s="1">
        <v>7</v>
      </c>
      <c r="D108" s="1" t="s">
        <v>48</v>
      </c>
      <c r="E108" s="2">
        <v>419</v>
      </c>
      <c r="F108" s="2">
        <v>419</v>
      </c>
      <c r="G108" s="2">
        <f t="shared" si="15"/>
        <v>0</v>
      </c>
      <c r="H108" s="3">
        <f>E108*K108</f>
        <v>58241</v>
      </c>
      <c r="I108" s="3">
        <f>F108*L108</f>
        <v>59079</v>
      </c>
      <c r="J108" s="19">
        <f t="shared" si="16"/>
        <v>-1.4184397163120567E-2</v>
      </c>
      <c r="K108" s="4">
        <v>139</v>
      </c>
      <c r="L108" s="4">
        <v>141</v>
      </c>
      <c r="M108" s="19">
        <f t="shared" si="17"/>
        <v>-1.4184397163120567E-2</v>
      </c>
      <c r="N108" s="3">
        <f>E108*Q108</f>
        <v>48185</v>
      </c>
      <c r="O108" s="3">
        <f>F108*R108</f>
        <v>43157</v>
      </c>
      <c r="P108" s="19">
        <f t="shared" si="18"/>
        <v>0.11650485436893204</v>
      </c>
      <c r="Q108" s="1">
        <v>115</v>
      </c>
      <c r="R108" s="1">
        <v>103</v>
      </c>
      <c r="S108" s="19">
        <f t="shared" si="19"/>
        <v>0.11650485436893204</v>
      </c>
      <c r="T108" s="1">
        <v>6812</v>
      </c>
      <c r="U108" s="1">
        <v>6536</v>
      </c>
      <c r="V108" s="19">
        <f t="shared" si="20"/>
        <v>4.2227662178702573E-2</v>
      </c>
      <c r="W108" s="1">
        <v>105</v>
      </c>
      <c r="X108" s="4">
        <v>86.1</v>
      </c>
      <c r="Y108" s="19">
        <f t="shared" si="21"/>
        <v>0.2195121951219513</v>
      </c>
      <c r="Z108" s="5">
        <v>4.3</v>
      </c>
      <c r="AA108" s="17">
        <f>X108/U108</f>
        <v>1.3173194614443084E-2</v>
      </c>
      <c r="AB108" s="17">
        <f>W108/T108</f>
        <v>1.541397533763946E-2</v>
      </c>
      <c r="AC108" s="17">
        <f t="shared" si="22"/>
        <v>0.17010154247167841</v>
      </c>
      <c r="AD108" s="18">
        <f>O108/X108</f>
        <v>501.2427409988386</v>
      </c>
      <c r="AE108" s="18">
        <f>N108/W108</f>
        <v>458.90476190476193</v>
      </c>
      <c r="AF108" s="16">
        <f t="shared" si="23"/>
        <v>-8.4466019417475752E-2</v>
      </c>
      <c r="AG108">
        <f t="shared" si="24"/>
        <v>419</v>
      </c>
      <c r="AH108">
        <f t="shared" si="25"/>
        <v>419</v>
      </c>
      <c r="AI108" s="16">
        <f t="shared" si="26"/>
        <v>0</v>
      </c>
      <c r="AJ108" s="18">
        <f t="shared" si="27"/>
        <v>15.623311802701116</v>
      </c>
      <c r="AK108" s="18">
        <f t="shared" si="28"/>
        <v>15.641982864137088</v>
      </c>
      <c r="AL108" s="15">
        <f t="shared" si="29"/>
        <v>0.547244094488189</v>
      </c>
    </row>
    <row r="109" spans="1:38" x14ac:dyDescent="0.35">
      <c r="A109" s="1" t="s">
        <v>21</v>
      </c>
      <c r="B109" s="6" t="s">
        <v>34</v>
      </c>
      <c r="C109" s="1">
        <v>8</v>
      </c>
      <c r="D109" s="1" t="s">
        <v>49</v>
      </c>
      <c r="E109" s="2">
        <v>149</v>
      </c>
      <c r="F109" s="2">
        <v>129.9</v>
      </c>
      <c r="G109" s="2">
        <f t="shared" si="15"/>
        <v>19.099999999999994</v>
      </c>
      <c r="H109" s="3">
        <f>E109*K109</f>
        <v>21456</v>
      </c>
      <c r="I109" s="3">
        <f>F109*L109</f>
        <v>16887</v>
      </c>
      <c r="J109" s="19">
        <f t="shared" si="16"/>
        <v>0.27056315508971396</v>
      </c>
      <c r="K109" s="4">
        <v>144</v>
      </c>
      <c r="L109" s="4">
        <v>130</v>
      </c>
      <c r="M109" s="19">
        <f t="shared" si="17"/>
        <v>0.1076923076923077</v>
      </c>
      <c r="N109" s="3">
        <f>E109*Q109</f>
        <v>11622</v>
      </c>
      <c r="O109" s="3">
        <f>F109*R109</f>
        <v>10392</v>
      </c>
      <c r="P109" s="19">
        <f t="shared" si="18"/>
        <v>0.11836027713625866</v>
      </c>
      <c r="Q109" s="1">
        <v>78</v>
      </c>
      <c r="R109" s="1">
        <v>80</v>
      </c>
      <c r="S109" s="19">
        <f t="shared" si="19"/>
        <v>-2.5000000000000001E-2</v>
      </c>
      <c r="T109" s="1">
        <v>9971</v>
      </c>
      <c r="U109" s="1">
        <v>10204</v>
      </c>
      <c r="V109" s="19">
        <f t="shared" si="20"/>
        <v>-2.2834182673461389E-2</v>
      </c>
      <c r="W109" s="1">
        <v>68</v>
      </c>
      <c r="X109" s="1">
        <v>75</v>
      </c>
      <c r="Y109" s="19">
        <f t="shared" si="21"/>
        <v>-9.3333333333333338E-2</v>
      </c>
      <c r="Z109" s="1">
        <v>4.3</v>
      </c>
      <c r="AA109" s="17">
        <f>X109/U109</f>
        <v>7.350058800470404E-3</v>
      </c>
      <c r="AB109" s="17">
        <f>W109/T109</f>
        <v>6.8197773543275499E-3</v>
      </c>
      <c r="AC109" s="17">
        <f t="shared" si="22"/>
        <v>-7.2146558352555776E-2</v>
      </c>
      <c r="AD109" s="18">
        <f>O109/X109</f>
        <v>138.56</v>
      </c>
      <c r="AE109" s="18">
        <f>N109/W109</f>
        <v>170.91176470588235</v>
      </c>
      <c r="AF109" s="16">
        <f t="shared" si="23"/>
        <v>0.23348559978263816</v>
      </c>
      <c r="AG109">
        <f t="shared" si="24"/>
        <v>129.9</v>
      </c>
      <c r="AH109">
        <f t="shared" si="25"/>
        <v>149</v>
      </c>
      <c r="AI109" s="16">
        <f t="shared" si="26"/>
        <v>0.14703618167821397</v>
      </c>
      <c r="AJ109" s="18">
        <f t="shared" si="27"/>
        <v>3.3174205195065691</v>
      </c>
      <c r="AK109" s="18">
        <f t="shared" si="28"/>
        <v>2.6733633869070954</v>
      </c>
      <c r="AL109" s="15">
        <f t="shared" si="29"/>
        <v>0.64864864864864868</v>
      </c>
    </row>
    <row r="110" spans="1:38" x14ac:dyDescent="0.35">
      <c r="A110" s="1" t="s">
        <v>21</v>
      </c>
      <c r="B110" s="6" t="s">
        <v>35</v>
      </c>
      <c r="C110" s="1">
        <v>9</v>
      </c>
      <c r="D110" s="1" t="s">
        <v>49</v>
      </c>
      <c r="E110" s="2">
        <v>139</v>
      </c>
      <c r="F110" s="2">
        <v>99</v>
      </c>
      <c r="G110" s="2">
        <f t="shared" si="15"/>
        <v>40</v>
      </c>
      <c r="H110" s="3">
        <f>E110*K110</f>
        <v>15846</v>
      </c>
      <c r="I110" s="3">
        <f>F110*L110</f>
        <v>11583</v>
      </c>
      <c r="J110" s="19">
        <f t="shared" si="16"/>
        <v>0.36803936803936804</v>
      </c>
      <c r="K110" s="4">
        <v>114</v>
      </c>
      <c r="L110" s="4">
        <v>117</v>
      </c>
      <c r="M110" s="19">
        <f t="shared" si="17"/>
        <v>-2.564102564102564E-2</v>
      </c>
      <c r="N110" s="3">
        <f>E110*Q110</f>
        <v>13344</v>
      </c>
      <c r="O110" s="3">
        <f>F110*R110</f>
        <v>8514</v>
      </c>
      <c r="P110" s="19">
        <f t="shared" si="18"/>
        <v>0.56730091613812539</v>
      </c>
      <c r="Q110" s="1">
        <v>96</v>
      </c>
      <c r="R110" s="1">
        <v>86</v>
      </c>
      <c r="S110" s="19">
        <f t="shared" si="19"/>
        <v>0.11627906976744186</v>
      </c>
      <c r="T110" s="1">
        <v>7434</v>
      </c>
      <c r="U110" s="1">
        <v>7489</v>
      </c>
      <c r="V110" s="19">
        <f t="shared" si="20"/>
        <v>-7.3441046868740817E-3</v>
      </c>
      <c r="W110" s="1">
        <v>86</v>
      </c>
      <c r="X110" s="4">
        <v>69.960000000000008</v>
      </c>
      <c r="Y110" s="19">
        <f t="shared" si="21"/>
        <v>0.22927387078330461</v>
      </c>
      <c r="Z110" s="5">
        <v>2.2999999999999998</v>
      </c>
      <c r="AA110" s="17">
        <f>X110/U110</f>
        <v>9.3417011617038335E-3</v>
      </c>
      <c r="AB110" s="17">
        <f>W110/T110</f>
        <v>1.1568469195587839E-2</v>
      </c>
      <c r="AC110" s="17">
        <f t="shared" si="22"/>
        <v>0.23836857927040186</v>
      </c>
      <c r="AD110" s="18">
        <f>O110/X110</f>
        <v>121.69811320754715</v>
      </c>
      <c r="AE110" s="18">
        <f>N110/W110</f>
        <v>155.16279069767441</v>
      </c>
      <c r="AF110" s="16">
        <f t="shared" si="23"/>
        <v>0.27498107084910772</v>
      </c>
      <c r="AG110">
        <f t="shared" si="24"/>
        <v>99</v>
      </c>
      <c r="AH110">
        <f t="shared" si="25"/>
        <v>139</v>
      </c>
      <c r="AI110" s="16">
        <f t="shared" si="26"/>
        <v>0.40404040404040403</v>
      </c>
      <c r="AJ110" s="18">
        <f t="shared" si="27"/>
        <v>3.9265536723163841</v>
      </c>
      <c r="AK110" s="18">
        <f t="shared" si="28"/>
        <v>2.6835358525837893</v>
      </c>
      <c r="AL110" s="15">
        <f t="shared" si="29"/>
        <v>0.54285714285714282</v>
      </c>
    </row>
    <row r="111" spans="1:38" x14ac:dyDescent="0.35">
      <c r="A111" s="1" t="s">
        <v>21</v>
      </c>
      <c r="B111" s="6" t="s">
        <v>36</v>
      </c>
      <c r="C111" s="1">
        <v>10</v>
      </c>
      <c r="D111" s="1" t="s">
        <v>49</v>
      </c>
      <c r="E111" s="2">
        <v>79</v>
      </c>
      <c r="F111" s="2">
        <v>79</v>
      </c>
      <c r="G111" s="2">
        <f t="shared" si="15"/>
        <v>0</v>
      </c>
      <c r="H111" s="3">
        <f>E111*K111</f>
        <v>14457</v>
      </c>
      <c r="I111" s="3">
        <f>F111*L111</f>
        <v>14141</v>
      </c>
      <c r="J111" s="19">
        <f t="shared" si="16"/>
        <v>2.23463687150838E-2</v>
      </c>
      <c r="K111" s="4">
        <v>183</v>
      </c>
      <c r="L111" s="4">
        <v>179</v>
      </c>
      <c r="M111" s="19">
        <f t="shared" si="17"/>
        <v>2.23463687150838E-2</v>
      </c>
      <c r="N111" s="3">
        <f>E111*Q111</f>
        <v>3634</v>
      </c>
      <c r="O111" s="3">
        <f>F111*R111</f>
        <v>3634</v>
      </c>
      <c r="P111" s="19">
        <f t="shared" si="18"/>
        <v>0</v>
      </c>
      <c r="Q111" s="1">
        <v>46</v>
      </c>
      <c r="R111" s="1">
        <v>46</v>
      </c>
      <c r="S111" s="19">
        <f t="shared" si="19"/>
        <v>0</v>
      </c>
      <c r="T111" s="1">
        <v>12798</v>
      </c>
      <c r="U111" s="1">
        <v>13588</v>
      </c>
      <c r="V111" s="19">
        <f t="shared" si="20"/>
        <v>-5.8139534883720929E-2</v>
      </c>
      <c r="W111" s="1">
        <v>36</v>
      </c>
      <c r="X111" s="1">
        <v>41</v>
      </c>
      <c r="Y111" s="19">
        <f t="shared" si="21"/>
        <v>-0.12195121951219512</v>
      </c>
      <c r="Z111" s="5">
        <v>2.7</v>
      </c>
      <c r="AA111" s="17">
        <f>X111/U111</f>
        <v>3.017368266117162E-3</v>
      </c>
      <c r="AB111" s="17">
        <f>W111/T111</f>
        <v>2.8129395218002813E-3</v>
      </c>
      <c r="AC111" s="17">
        <f t="shared" si="22"/>
        <v>-6.7750677506774992E-2</v>
      </c>
      <c r="AD111" s="18">
        <f>O111/X111</f>
        <v>88.634146341463421</v>
      </c>
      <c r="AE111" s="18">
        <f>N111/W111</f>
        <v>100.94444444444444</v>
      </c>
      <c r="AF111" s="16">
        <f t="shared" si="23"/>
        <v>0.13888888888888878</v>
      </c>
      <c r="AG111">
        <f t="shared" si="24"/>
        <v>79</v>
      </c>
      <c r="AH111">
        <f t="shared" si="25"/>
        <v>79</v>
      </c>
      <c r="AI111" s="16">
        <f t="shared" si="26"/>
        <v>0</v>
      </c>
      <c r="AJ111" s="18">
        <f t="shared" si="27"/>
        <v>1.4135802469135803</v>
      </c>
      <c r="AK111" s="18">
        <f t="shared" si="28"/>
        <v>1.308139534883721</v>
      </c>
      <c r="AL111" s="15">
        <f t="shared" si="29"/>
        <v>0.79912663755458513</v>
      </c>
    </row>
    <row r="112" spans="1:38" x14ac:dyDescent="0.35">
      <c r="A112" s="1" t="s">
        <v>21</v>
      </c>
      <c r="B112" s="6" t="s">
        <v>37</v>
      </c>
      <c r="C112" s="1">
        <v>11</v>
      </c>
      <c r="D112" s="1" t="s">
        <v>49</v>
      </c>
      <c r="E112" s="2">
        <v>129</v>
      </c>
      <c r="F112" s="2">
        <v>129</v>
      </c>
      <c r="G112" s="2">
        <f t="shared" si="15"/>
        <v>0</v>
      </c>
      <c r="H112" s="3">
        <f>E112*K112</f>
        <v>23478</v>
      </c>
      <c r="I112" s="3">
        <f>F112*L112</f>
        <v>23865</v>
      </c>
      <c r="J112" s="19">
        <f t="shared" si="16"/>
        <v>-1.6216216216216217E-2</v>
      </c>
      <c r="K112" s="4">
        <v>182</v>
      </c>
      <c r="L112" s="4">
        <v>185</v>
      </c>
      <c r="M112" s="19">
        <f t="shared" si="17"/>
        <v>-1.6216216216216217E-2</v>
      </c>
      <c r="N112" s="3">
        <f>E112*Q112</f>
        <v>9546</v>
      </c>
      <c r="O112" s="3">
        <f>F112*R112</f>
        <v>9030</v>
      </c>
      <c r="P112" s="19">
        <f t="shared" si="18"/>
        <v>5.7142857142857141E-2</v>
      </c>
      <c r="Q112" s="1">
        <v>74</v>
      </c>
      <c r="R112" s="1">
        <v>70</v>
      </c>
      <c r="S112" s="19">
        <f t="shared" si="19"/>
        <v>5.7142857142857141E-2</v>
      </c>
      <c r="T112" s="1">
        <v>11245</v>
      </c>
      <c r="U112" s="1">
        <v>11016</v>
      </c>
      <c r="V112" s="19">
        <f t="shared" si="20"/>
        <v>2.0787944807552652E-2</v>
      </c>
      <c r="W112" s="1">
        <v>64</v>
      </c>
      <c r="X112" s="4">
        <v>63</v>
      </c>
      <c r="Y112" s="19">
        <f t="shared" si="21"/>
        <v>1.5873015873015872E-2</v>
      </c>
      <c r="Z112" s="5">
        <v>1.9</v>
      </c>
      <c r="AA112" s="17">
        <f>X112/U112</f>
        <v>5.7189542483660127E-3</v>
      </c>
      <c r="AB112" s="17">
        <f>W112/T112</f>
        <v>5.6914184081814142E-3</v>
      </c>
      <c r="AC112" s="17">
        <f t="shared" si="22"/>
        <v>-4.8148383408497981E-3</v>
      </c>
      <c r="AD112" s="18">
        <f>O112/X112</f>
        <v>143.33333333333334</v>
      </c>
      <c r="AE112" s="18">
        <f>N112/W112</f>
        <v>149.15625</v>
      </c>
      <c r="AF112" s="16">
        <f t="shared" si="23"/>
        <v>4.0624999999999932E-2</v>
      </c>
      <c r="AG112">
        <f t="shared" si="24"/>
        <v>129</v>
      </c>
      <c r="AH112">
        <f t="shared" si="25"/>
        <v>129</v>
      </c>
      <c r="AI112" s="16">
        <f t="shared" si="26"/>
        <v>0</v>
      </c>
      <c r="AJ112" s="18">
        <f t="shared" si="27"/>
        <v>2.9367718986216098</v>
      </c>
      <c r="AK112" s="18">
        <f t="shared" si="28"/>
        <v>2.9861111111111112</v>
      </c>
      <c r="AL112" s="15">
        <f t="shared" si="29"/>
        <v>0.7109375</v>
      </c>
    </row>
    <row r="113" spans="1:38" x14ac:dyDescent="0.35">
      <c r="A113" s="1" t="s">
        <v>21</v>
      </c>
      <c r="B113" s="6" t="s">
        <v>38</v>
      </c>
      <c r="C113" s="1">
        <v>12</v>
      </c>
      <c r="D113" s="1" t="s">
        <v>50</v>
      </c>
      <c r="E113" s="2">
        <v>779</v>
      </c>
      <c r="F113" s="2">
        <v>649.20000000000005</v>
      </c>
      <c r="G113" s="2">
        <f t="shared" si="15"/>
        <v>129.79999999999995</v>
      </c>
      <c r="H113" s="3">
        <f>E113*K113</f>
        <v>148789</v>
      </c>
      <c r="I113" s="3">
        <f>F113*L113</f>
        <v>128541.6</v>
      </c>
      <c r="J113" s="19">
        <f t="shared" si="16"/>
        <v>0.15751632156438067</v>
      </c>
      <c r="K113" s="4">
        <v>191</v>
      </c>
      <c r="L113" s="4">
        <v>198</v>
      </c>
      <c r="M113" s="19">
        <f t="shared" si="17"/>
        <v>-3.5353535353535352E-2</v>
      </c>
      <c r="N113" s="3">
        <f>E113*Q113</f>
        <v>43624</v>
      </c>
      <c r="O113" s="3">
        <f>F113*R113</f>
        <v>35056.800000000003</v>
      </c>
      <c r="P113" s="19">
        <f t="shared" si="18"/>
        <v>0.24438054813901999</v>
      </c>
      <c r="Q113" s="1">
        <v>56</v>
      </c>
      <c r="R113" s="1">
        <v>54</v>
      </c>
      <c r="S113" s="19">
        <f t="shared" si="19"/>
        <v>3.7037037037037035E-2</v>
      </c>
      <c r="T113" s="1">
        <v>9198</v>
      </c>
      <c r="U113" s="1">
        <v>7972</v>
      </c>
      <c r="V113" s="19">
        <f t="shared" si="20"/>
        <v>0.15378825890617159</v>
      </c>
      <c r="W113" s="1">
        <v>46</v>
      </c>
      <c r="X113" s="1">
        <v>49</v>
      </c>
      <c r="Y113" s="19">
        <f t="shared" si="21"/>
        <v>-6.1224489795918366E-2</v>
      </c>
      <c r="Z113" s="1">
        <v>4.5999999999999996</v>
      </c>
      <c r="AA113" s="17">
        <f>X113/U113</f>
        <v>6.1465127947817359E-3</v>
      </c>
      <c r="AB113" s="17">
        <f>W113/T113</f>
        <v>5.0010871928680145E-3</v>
      </c>
      <c r="AC113" s="17">
        <f t="shared" si="22"/>
        <v>-0.18635373262155483</v>
      </c>
      <c r="AD113" s="18">
        <f>O113/X113</f>
        <v>715.44489795918378</v>
      </c>
      <c r="AE113" s="18">
        <f>N113/W113</f>
        <v>948.3478260869565</v>
      </c>
      <c r="AF113" s="16">
        <f t="shared" si="23"/>
        <v>0.32553580127852122</v>
      </c>
      <c r="AG113">
        <f t="shared" si="24"/>
        <v>649.20000000000005</v>
      </c>
      <c r="AH113">
        <f t="shared" si="25"/>
        <v>779</v>
      </c>
      <c r="AI113" s="16">
        <f t="shared" si="26"/>
        <v>0.19993838570548358</v>
      </c>
      <c r="AJ113" s="18">
        <f t="shared" si="27"/>
        <v>20.919004131332898</v>
      </c>
      <c r="AK113" s="18">
        <f t="shared" si="28"/>
        <v>20.521625689914703</v>
      </c>
      <c r="AL113" s="15">
        <f t="shared" si="29"/>
        <v>0.77327935222672062</v>
      </c>
    </row>
    <row r="114" spans="1:38" x14ac:dyDescent="0.35">
      <c r="A114" s="1" t="s">
        <v>21</v>
      </c>
      <c r="B114" s="6" t="s">
        <v>39</v>
      </c>
      <c r="C114" s="1">
        <v>13</v>
      </c>
      <c r="D114" s="1" t="s">
        <v>50</v>
      </c>
      <c r="E114" s="2">
        <v>136</v>
      </c>
      <c r="F114" s="2">
        <v>136</v>
      </c>
      <c r="G114" s="2">
        <f t="shared" si="15"/>
        <v>0</v>
      </c>
      <c r="H114" s="3">
        <f>E114*K114</f>
        <v>17680</v>
      </c>
      <c r="I114" s="3">
        <f>F114*L114</f>
        <v>17544</v>
      </c>
      <c r="J114" s="19">
        <f t="shared" si="16"/>
        <v>7.7519379844961239E-3</v>
      </c>
      <c r="K114" s="4">
        <v>130</v>
      </c>
      <c r="L114" s="4">
        <v>129</v>
      </c>
      <c r="M114" s="19">
        <f t="shared" si="17"/>
        <v>7.7519379844961239E-3</v>
      </c>
      <c r="N114" s="3">
        <f>E114*Q114</f>
        <v>2856</v>
      </c>
      <c r="O114" s="3">
        <f>F114*R114</f>
        <v>2720</v>
      </c>
      <c r="P114" s="19">
        <f t="shared" si="18"/>
        <v>0.05</v>
      </c>
      <c r="Q114" s="1">
        <v>21</v>
      </c>
      <c r="R114" s="1">
        <v>20</v>
      </c>
      <c r="S114" s="19">
        <f t="shared" si="19"/>
        <v>0.05</v>
      </c>
      <c r="T114" s="1">
        <v>9029</v>
      </c>
      <c r="U114" s="1">
        <v>9573</v>
      </c>
      <c r="V114" s="19">
        <f t="shared" si="20"/>
        <v>-5.6826491173090986E-2</v>
      </c>
      <c r="W114" s="1">
        <v>29</v>
      </c>
      <c r="X114" s="4">
        <v>26</v>
      </c>
      <c r="Y114" s="19">
        <f t="shared" si="21"/>
        <v>0.11538461538461539</v>
      </c>
      <c r="Z114" s="5">
        <v>1.9</v>
      </c>
      <c r="AA114" s="17">
        <f>X114/U114</f>
        <v>2.7159720045962605E-3</v>
      </c>
      <c r="AB114" s="17">
        <f>W114/T114</f>
        <v>3.2118728541366708E-3</v>
      </c>
      <c r="AC114" s="17">
        <f t="shared" si="22"/>
        <v>0.18258687817885952</v>
      </c>
      <c r="AD114" s="18">
        <f>O114/X114</f>
        <v>104.61538461538461</v>
      </c>
      <c r="AE114" s="18">
        <f>N114/W114</f>
        <v>98.482758620689651</v>
      </c>
      <c r="AF114" s="16">
        <f t="shared" si="23"/>
        <v>-5.8620689655172434E-2</v>
      </c>
      <c r="AG114">
        <f t="shared" si="24"/>
        <v>136</v>
      </c>
      <c r="AH114">
        <f t="shared" si="25"/>
        <v>136</v>
      </c>
      <c r="AI114" s="16">
        <f t="shared" si="26"/>
        <v>0</v>
      </c>
      <c r="AJ114" s="18">
        <f t="shared" si="27"/>
        <v>2.2744489976741611</v>
      </c>
      <c r="AK114" s="18">
        <f t="shared" si="28"/>
        <v>2.1167867961976392</v>
      </c>
      <c r="AL114" s="15">
        <f t="shared" si="29"/>
        <v>0.86092715231788075</v>
      </c>
    </row>
    <row r="115" spans="1:38" x14ac:dyDescent="0.35">
      <c r="A115" s="1" t="s">
        <v>21</v>
      </c>
      <c r="B115" s="6" t="s">
        <v>40</v>
      </c>
      <c r="C115" s="1">
        <v>14</v>
      </c>
      <c r="D115" s="1" t="s">
        <v>50</v>
      </c>
      <c r="E115" s="2">
        <v>249</v>
      </c>
      <c r="F115" s="2">
        <v>249</v>
      </c>
      <c r="G115" s="2">
        <f t="shared" si="15"/>
        <v>0</v>
      </c>
      <c r="H115" s="3">
        <f>E115*K115</f>
        <v>27141</v>
      </c>
      <c r="I115" s="3">
        <f>F115*L115</f>
        <v>26394</v>
      </c>
      <c r="J115" s="19">
        <f t="shared" si="16"/>
        <v>2.8301886792452831E-2</v>
      </c>
      <c r="K115" s="4">
        <v>109</v>
      </c>
      <c r="L115" s="4">
        <v>106</v>
      </c>
      <c r="M115" s="19">
        <f t="shared" si="17"/>
        <v>2.8301886792452831E-2</v>
      </c>
      <c r="N115" s="3">
        <f>E115*Q115</f>
        <v>26643</v>
      </c>
      <c r="O115" s="3">
        <f>F115*R115</f>
        <v>26145</v>
      </c>
      <c r="P115" s="19">
        <f t="shared" si="18"/>
        <v>1.9047619047619049E-2</v>
      </c>
      <c r="Q115" s="1">
        <v>107</v>
      </c>
      <c r="R115" s="1">
        <v>105</v>
      </c>
      <c r="S115" s="19">
        <f t="shared" si="19"/>
        <v>1.9047619047619049E-2</v>
      </c>
      <c r="T115" s="1">
        <v>10274</v>
      </c>
      <c r="U115" s="1">
        <v>9154</v>
      </c>
      <c r="V115" s="19">
        <f t="shared" si="20"/>
        <v>0.122350884859078</v>
      </c>
      <c r="W115" s="1">
        <v>97</v>
      </c>
      <c r="X115" s="1">
        <v>100</v>
      </c>
      <c r="Y115" s="19">
        <f t="shared" si="21"/>
        <v>-0.03</v>
      </c>
      <c r="Z115" s="1">
        <v>4.5</v>
      </c>
      <c r="AA115" s="17">
        <f>X115/U115</f>
        <v>1.0924186148131964E-2</v>
      </c>
      <c r="AB115" s="17">
        <f>W115/T115</f>
        <v>9.4413081565115822E-3</v>
      </c>
      <c r="AC115" s="17">
        <f t="shared" si="22"/>
        <v>-0.13574265135292976</v>
      </c>
      <c r="AD115" s="18">
        <f>O115/X115</f>
        <v>261.45</v>
      </c>
      <c r="AE115" s="18">
        <f>N115/W115</f>
        <v>274.67010309278351</v>
      </c>
      <c r="AF115" s="16">
        <f t="shared" si="23"/>
        <v>5.0564555719194944E-2</v>
      </c>
      <c r="AG115">
        <f t="shared" si="24"/>
        <v>249</v>
      </c>
      <c r="AH115">
        <f t="shared" si="25"/>
        <v>249</v>
      </c>
      <c r="AI115" s="16">
        <f t="shared" si="26"/>
        <v>0</v>
      </c>
      <c r="AJ115" s="18">
        <f t="shared" si="27"/>
        <v>5.2349620401012267</v>
      </c>
      <c r="AK115" s="18">
        <f t="shared" si="28"/>
        <v>5.7394581603670529</v>
      </c>
      <c r="AL115" s="15">
        <f t="shared" si="29"/>
        <v>0.50462962962962965</v>
      </c>
    </row>
    <row r="116" spans="1:38" x14ac:dyDescent="0.35">
      <c r="A116" s="1" t="s">
        <v>21</v>
      </c>
      <c r="B116" s="6" t="s">
        <v>41</v>
      </c>
      <c r="C116" s="1">
        <v>15</v>
      </c>
      <c r="D116" s="1" t="s">
        <v>50</v>
      </c>
      <c r="E116" s="2">
        <v>155</v>
      </c>
      <c r="F116" s="2">
        <v>155</v>
      </c>
      <c r="G116" s="2">
        <f t="shared" si="15"/>
        <v>0</v>
      </c>
      <c r="H116" s="3">
        <f>E116*K116</f>
        <v>12245</v>
      </c>
      <c r="I116" s="3">
        <f>F116*L116</f>
        <v>11470</v>
      </c>
      <c r="J116" s="19">
        <f t="shared" si="16"/>
        <v>6.7567567567567571E-2</v>
      </c>
      <c r="K116" s="4">
        <v>79</v>
      </c>
      <c r="L116" s="4">
        <v>74</v>
      </c>
      <c r="M116" s="19">
        <f t="shared" si="17"/>
        <v>6.7567567567567571E-2</v>
      </c>
      <c r="N116" s="3">
        <f>E116*Q116</f>
        <v>12400</v>
      </c>
      <c r="O116" s="3">
        <f>F116*R116</f>
        <v>13330</v>
      </c>
      <c r="P116" s="19">
        <f t="shared" si="18"/>
        <v>-6.9767441860465115E-2</v>
      </c>
      <c r="Q116" s="1">
        <v>80</v>
      </c>
      <c r="R116" s="1">
        <v>86</v>
      </c>
      <c r="S116" s="19">
        <f t="shared" si="19"/>
        <v>-6.9767441860465115E-2</v>
      </c>
      <c r="T116" s="1">
        <v>13239</v>
      </c>
      <c r="U116" s="1">
        <v>13862</v>
      </c>
      <c r="V116" s="19">
        <f t="shared" si="20"/>
        <v>-4.4943009666714759E-2</v>
      </c>
      <c r="W116" s="1">
        <v>75</v>
      </c>
      <c r="X116" s="4">
        <v>71.02</v>
      </c>
      <c r="Y116" s="19">
        <f t="shared" si="21"/>
        <v>5.6040551957195213E-2</v>
      </c>
      <c r="Z116" s="5">
        <v>3.7</v>
      </c>
      <c r="AA116" s="17">
        <f>X116/U116</f>
        <v>5.1233588226807097E-3</v>
      </c>
      <c r="AB116" s="17">
        <f>W116/T116</f>
        <v>5.6650804441423066E-3</v>
      </c>
      <c r="AC116" s="17">
        <f t="shared" si="22"/>
        <v>0.1057356394917017</v>
      </c>
      <c r="AD116" s="18">
        <f>O116/X116</f>
        <v>187.69360743452549</v>
      </c>
      <c r="AE116" s="18">
        <f>N116/W116</f>
        <v>165.33333333333334</v>
      </c>
      <c r="AF116" s="16">
        <f t="shared" si="23"/>
        <v>-0.1191317829457364</v>
      </c>
      <c r="AG116">
        <f t="shared" si="24"/>
        <v>155</v>
      </c>
      <c r="AH116">
        <f t="shared" si="25"/>
        <v>155</v>
      </c>
      <c r="AI116" s="16">
        <f t="shared" si="26"/>
        <v>0</v>
      </c>
      <c r="AJ116" s="18">
        <f t="shared" si="27"/>
        <v>1.861545433945162</v>
      </c>
      <c r="AK116" s="18">
        <f t="shared" si="28"/>
        <v>1.7890636271822249</v>
      </c>
      <c r="AL116" s="15">
        <f t="shared" si="29"/>
        <v>0.49685534591194969</v>
      </c>
    </row>
    <row r="117" spans="1:38" x14ac:dyDescent="0.35">
      <c r="A117" s="1" t="s">
        <v>21</v>
      </c>
      <c r="B117" s="6" t="s">
        <v>42</v>
      </c>
      <c r="C117" s="1">
        <v>16</v>
      </c>
      <c r="D117" s="1" t="s">
        <v>50</v>
      </c>
      <c r="E117" s="2">
        <v>627</v>
      </c>
      <c r="F117" s="2">
        <v>627</v>
      </c>
      <c r="G117" s="2">
        <f t="shared" si="15"/>
        <v>0</v>
      </c>
      <c r="H117" s="3">
        <f>E117*K117</f>
        <v>58311</v>
      </c>
      <c r="I117" s="3">
        <f>F117*L117</f>
        <v>57057</v>
      </c>
      <c r="J117" s="19">
        <f t="shared" si="16"/>
        <v>2.197802197802198E-2</v>
      </c>
      <c r="K117" s="4">
        <v>93</v>
      </c>
      <c r="L117" s="4">
        <v>91</v>
      </c>
      <c r="M117" s="19">
        <f t="shared" si="17"/>
        <v>2.197802197802198E-2</v>
      </c>
      <c r="N117" s="3">
        <f>E117*Q117</f>
        <v>37620</v>
      </c>
      <c r="O117" s="3">
        <f>F117*R117</f>
        <v>34485</v>
      </c>
      <c r="P117" s="19">
        <f t="shared" si="18"/>
        <v>9.0909090909090912E-2</v>
      </c>
      <c r="Q117" s="1">
        <v>60</v>
      </c>
      <c r="R117" s="1">
        <v>55</v>
      </c>
      <c r="S117" s="19">
        <f t="shared" si="19"/>
        <v>9.0909090909090912E-2</v>
      </c>
      <c r="T117" s="1">
        <v>9579</v>
      </c>
      <c r="U117" s="1">
        <v>9376</v>
      </c>
      <c r="V117" s="19">
        <f t="shared" si="20"/>
        <v>2.1651023890784982E-2</v>
      </c>
      <c r="W117" s="1">
        <v>50</v>
      </c>
      <c r="X117" s="1">
        <v>50</v>
      </c>
      <c r="Y117" s="19">
        <f t="shared" si="21"/>
        <v>0</v>
      </c>
      <c r="Z117" s="1">
        <v>4.3</v>
      </c>
      <c r="AA117" s="17">
        <f>X117/U117</f>
        <v>5.3327645051194543E-3</v>
      </c>
      <c r="AB117" s="17">
        <f>W117/T117</f>
        <v>5.2197515398267041E-3</v>
      </c>
      <c r="AC117" s="17">
        <f t="shared" si="22"/>
        <v>-2.1192191251696527E-2</v>
      </c>
      <c r="AD117" s="18">
        <f>O117/X117</f>
        <v>689.7</v>
      </c>
      <c r="AE117" s="18">
        <f>N117/W117</f>
        <v>752.4</v>
      </c>
      <c r="AF117" s="16">
        <f t="shared" si="23"/>
        <v>9.0909090909090801E-2</v>
      </c>
      <c r="AG117">
        <f t="shared" si="24"/>
        <v>627</v>
      </c>
      <c r="AH117">
        <f t="shared" si="25"/>
        <v>627</v>
      </c>
      <c r="AI117" s="16">
        <f t="shared" si="26"/>
        <v>0</v>
      </c>
      <c r="AJ117" s="18">
        <f t="shared" si="27"/>
        <v>10.014719699342312</v>
      </c>
      <c r="AK117" s="18">
        <f t="shared" si="28"/>
        <v>9.7634385665529013</v>
      </c>
      <c r="AL117" s="15">
        <f t="shared" si="29"/>
        <v>0.60784313725490191</v>
      </c>
    </row>
    <row r="118" spans="1:38" x14ac:dyDescent="0.35">
      <c r="A118" s="1" t="s">
        <v>21</v>
      </c>
      <c r="B118" s="6" t="s">
        <v>43</v>
      </c>
      <c r="C118" s="1">
        <v>17</v>
      </c>
      <c r="D118" s="1" t="s">
        <v>50</v>
      </c>
      <c r="E118" s="2">
        <v>179</v>
      </c>
      <c r="F118" s="2">
        <v>169</v>
      </c>
      <c r="G118" s="2">
        <f t="shared" si="15"/>
        <v>10</v>
      </c>
      <c r="H118" s="3">
        <f>E118*K118</f>
        <v>28282</v>
      </c>
      <c r="I118" s="3">
        <f>F118*L118</f>
        <v>25857</v>
      </c>
      <c r="J118" s="19">
        <f t="shared" si="16"/>
        <v>9.3785048536179763E-2</v>
      </c>
      <c r="K118" s="4">
        <v>158</v>
      </c>
      <c r="L118" s="4">
        <v>153</v>
      </c>
      <c r="M118" s="19">
        <f t="shared" si="17"/>
        <v>3.2679738562091505E-2</v>
      </c>
      <c r="N118" s="3">
        <f>E118*Q118</f>
        <v>3938</v>
      </c>
      <c r="O118" s="3">
        <f>F118*R118</f>
        <v>3549</v>
      </c>
      <c r="P118" s="19">
        <f t="shared" si="18"/>
        <v>0.10960834037757115</v>
      </c>
      <c r="Q118" s="1">
        <v>22</v>
      </c>
      <c r="R118" s="1">
        <v>21</v>
      </c>
      <c r="S118" s="19">
        <f t="shared" si="19"/>
        <v>4.7619047619047616E-2</v>
      </c>
      <c r="T118" s="1">
        <v>11170</v>
      </c>
      <c r="U118" s="1">
        <v>11887</v>
      </c>
      <c r="V118" s="19">
        <f t="shared" si="20"/>
        <v>-6.0317994447715989E-2</v>
      </c>
      <c r="W118" s="1">
        <v>32</v>
      </c>
      <c r="X118" s="4">
        <v>28.700000000000003</v>
      </c>
      <c r="Y118" s="19">
        <f t="shared" si="21"/>
        <v>0.11498257839721243</v>
      </c>
      <c r="Z118" s="1">
        <v>3.9</v>
      </c>
      <c r="AA118" s="17">
        <f>X118/U118</f>
        <v>2.4144022882140155E-3</v>
      </c>
      <c r="AB118" s="17">
        <f>W118/T118</f>
        <v>2.8648164726947181E-3</v>
      </c>
      <c r="AC118" s="17">
        <f t="shared" si="22"/>
        <v>0.18655308051993416</v>
      </c>
      <c r="AD118" s="18">
        <f>O118/X118</f>
        <v>123.65853658536584</v>
      </c>
      <c r="AE118" s="18">
        <f>N118/W118</f>
        <v>123.0625</v>
      </c>
      <c r="AF118" s="16">
        <f t="shared" si="23"/>
        <v>-4.8200197238657469E-3</v>
      </c>
      <c r="AG118">
        <f t="shared" si="24"/>
        <v>169</v>
      </c>
      <c r="AH118">
        <f t="shared" si="25"/>
        <v>179</v>
      </c>
      <c r="AI118" s="16">
        <f t="shared" si="26"/>
        <v>5.9171597633136092E-2</v>
      </c>
      <c r="AJ118" s="18">
        <f t="shared" si="27"/>
        <v>2.8845120859444942</v>
      </c>
      <c r="AK118" s="18">
        <f t="shared" si="28"/>
        <v>2.4737949019937746</v>
      </c>
      <c r="AL118" s="15">
        <f t="shared" si="29"/>
        <v>0.87777777777777777</v>
      </c>
    </row>
    <row r="119" spans="1:38" x14ac:dyDescent="0.35">
      <c r="A119" s="1" t="s">
        <v>21</v>
      </c>
      <c r="B119" s="6" t="s">
        <v>44</v>
      </c>
      <c r="C119" s="1">
        <v>18</v>
      </c>
      <c r="D119" s="1" t="s">
        <v>50</v>
      </c>
      <c r="E119" s="2">
        <v>475</v>
      </c>
      <c r="F119" s="2">
        <v>475</v>
      </c>
      <c r="G119" s="2">
        <f t="shared" si="15"/>
        <v>0</v>
      </c>
      <c r="H119" s="3">
        <f>E119*K119</f>
        <v>65550</v>
      </c>
      <c r="I119" s="3">
        <f>F119*L119</f>
        <v>58425</v>
      </c>
      <c r="J119" s="19">
        <f t="shared" si="16"/>
        <v>0.12195121951219512</v>
      </c>
      <c r="K119" s="4">
        <v>138</v>
      </c>
      <c r="L119" s="4">
        <v>123</v>
      </c>
      <c r="M119" s="19">
        <f t="shared" si="17"/>
        <v>0.12195121951219512</v>
      </c>
      <c r="N119" s="3">
        <f>E119*Q119</f>
        <v>27075</v>
      </c>
      <c r="O119" s="3">
        <f>F119*R119</f>
        <v>23750</v>
      </c>
      <c r="P119" s="19">
        <f t="shared" si="18"/>
        <v>0.14000000000000001</v>
      </c>
      <c r="Q119" s="1">
        <v>57</v>
      </c>
      <c r="R119" s="1">
        <v>50</v>
      </c>
      <c r="S119" s="19">
        <f t="shared" si="19"/>
        <v>0.14000000000000001</v>
      </c>
      <c r="T119" s="1">
        <v>5452</v>
      </c>
      <c r="U119" s="1">
        <v>5152</v>
      </c>
      <c r="V119" s="19">
        <f t="shared" si="20"/>
        <v>5.8229813664596272E-2</v>
      </c>
      <c r="W119" s="1">
        <v>47</v>
      </c>
      <c r="X119" s="4">
        <v>49</v>
      </c>
      <c r="Y119" s="19">
        <f t="shared" si="21"/>
        <v>-4.0816326530612242E-2</v>
      </c>
      <c r="Z119" s="1">
        <v>4.3</v>
      </c>
      <c r="AA119" s="17">
        <f>X119/U119</f>
        <v>9.5108695652173919E-3</v>
      </c>
      <c r="AB119" s="17">
        <f>W119/T119</f>
        <v>8.6206896551724137E-3</v>
      </c>
      <c r="AC119" s="17">
        <f t="shared" si="22"/>
        <v>-9.3596059113300559E-2</v>
      </c>
      <c r="AD119" s="18">
        <f>O119/X119</f>
        <v>484.69387755102042</v>
      </c>
      <c r="AE119" s="18">
        <f>N119/W119</f>
        <v>576.063829787234</v>
      </c>
      <c r="AF119" s="16">
        <f t="shared" si="23"/>
        <v>0.18851063829787221</v>
      </c>
      <c r="AG119">
        <f t="shared" si="24"/>
        <v>475</v>
      </c>
      <c r="AH119">
        <f t="shared" si="25"/>
        <v>475</v>
      </c>
      <c r="AI119" s="16">
        <f t="shared" si="26"/>
        <v>0</v>
      </c>
      <c r="AJ119" s="18">
        <f t="shared" si="27"/>
        <v>16.989178283198825</v>
      </c>
      <c r="AK119" s="18">
        <f t="shared" si="28"/>
        <v>15.950116459627329</v>
      </c>
      <c r="AL119" s="15">
        <f t="shared" si="29"/>
        <v>0.70769230769230773</v>
      </c>
    </row>
    <row r="120" spans="1:38" x14ac:dyDescent="0.35">
      <c r="A120" s="1" t="s">
        <v>21</v>
      </c>
      <c r="B120" s="6" t="s">
        <v>45</v>
      </c>
      <c r="C120" s="1">
        <v>19</v>
      </c>
      <c r="D120" s="1" t="s">
        <v>50</v>
      </c>
      <c r="E120" s="2">
        <v>180</v>
      </c>
      <c r="F120" s="2">
        <v>160</v>
      </c>
      <c r="G120" s="2">
        <f t="shared" si="15"/>
        <v>20</v>
      </c>
      <c r="H120" s="3">
        <f>E120*K120</f>
        <v>20880</v>
      </c>
      <c r="I120" s="3">
        <f>F120*L120</f>
        <v>17280</v>
      </c>
      <c r="J120" s="19">
        <f t="shared" si="16"/>
        <v>0.20833333333333334</v>
      </c>
      <c r="K120" s="4">
        <v>116</v>
      </c>
      <c r="L120" s="4">
        <v>108</v>
      </c>
      <c r="M120" s="19">
        <f t="shared" si="17"/>
        <v>7.407407407407407E-2</v>
      </c>
      <c r="N120" s="3">
        <f>E120*Q120</f>
        <v>21240</v>
      </c>
      <c r="O120" s="3">
        <f>F120*R120</f>
        <v>17280</v>
      </c>
      <c r="P120" s="19">
        <f t="shared" si="18"/>
        <v>0.22916666666666666</v>
      </c>
      <c r="Q120" s="1">
        <v>118</v>
      </c>
      <c r="R120" s="1">
        <v>108</v>
      </c>
      <c r="S120" s="19">
        <f t="shared" si="19"/>
        <v>9.2592592592592587E-2</v>
      </c>
      <c r="T120" s="1">
        <v>11944</v>
      </c>
      <c r="U120" s="1">
        <v>10830</v>
      </c>
      <c r="V120" s="19">
        <f t="shared" si="20"/>
        <v>0.10286241920590951</v>
      </c>
      <c r="W120" s="1">
        <v>108</v>
      </c>
      <c r="X120" s="4">
        <v>89.6</v>
      </c>
      <c r="Y120" s="19">
        <f t="shared" si="21"/>
        <v>0.20535714285714293</v>
      </c>
      <c r="Z120" s="1">
        <v>4.0999999999999996</v>
      </c>
      <c r="AA120" s="17">
        <f>X120/U120</f>
        <v>8.273314866112649E-3</v>
      </c>
      <c r="AB120" s="17">
        <f>W120/T120</f>
        <v>9.0421969189551244E-3</v>
      </c>
      <c r="AC120" s="17">
        <f t="shared" si="22"/>
        <v>9.2935185628169756E-2</v>
      </c>
      <c r="AD120" s="18">
        <f>O120/X120</f>
        <v>192.85714285714286</v>
      </c>
      <c r="AE120" s="18">
        <f>N120/W120</f>
        <v>196.66666666666666</v>
      </c>
      <c r="AF120" s="16">
        <f t="shared" si="23"/>
        <v>1.9753086419753017E-2</v>
      </c>
      <c r="AG120">
        <f t="shared" si="24"/>
        <v>160</v>
      </c>
      <c r="AH120">
        <f t="shared" si="25"/>
        <v>180</v>
      </c>
      <c r="AI120" s="16">
        <f t="shared" si="26"/>
        <v>0.125</v>
      </c>
      <c r="AJ120" s="18">
        <f t="shared" si="27"/>
        <v>3.5264567983924984</v>
      </c>
      <c r="AK120" s="18">
        <f t="shared" si="28"/>
        <v>3.1911357340720223</v>
      </c>
      <c r="AL120" s="15">
        <f t="shared" si="29"/>
        <v>0.49572649572649574</v>
      </c>
    </row>
    <row r="121" spans="1:38" x14ac:dyDescent="0.35">
      <c r="A121" s="1" t="s">
        <v>21</v>
      </c>
      <c r="B121" s="6" t="s">
        <v>46</v>
      </c>
      <c r="C121" s="1">
        <v>20</v>
      </c>
      <c r="D121" s="1" t="s">
        <v>50</v>
      </c>
      <c r="E121" s="2">
        <v>475</v>
      </c>
      <c r="F121" s="2">
        <v>475</v>
      </c>
      <c r="G121" s="2">
        <f t="shared" si="15"/>
        <v>0</v>
      </c>
      <c r="H121" s="3">
        <f>E121*K121</f>
        <v>96900</v>
      </c>
      <c r="I121" s="3">
        <f>F121*L121</f>
        <v>96900</v>
      </c>
      <c r="J121" s="19">
        <f t="shared" si="16"/>
        <v>0</v>
      </c>
      <c r="K121" s="4">
        <v>204</v>
      </c>
      <c r="L121" s="4">
        <v>204</v>
      </c>
      <c r="M121" s="19">
        <f t="shared" si="17"/>
        <v>0</v>
      </c>
      <c r="N121" s="3">
        <f>E121*Q121</f>
        <v>14725</v>
      </c>
      <c r="O121" s="3">
        <f>F121*R121</f>
        <v>13300</v>
      </c>
      <c r="P121" s="19">
        <f t="shared" si="18"/>
        <v>0.10714285714285714</v>
      </c>
      <c r="Q121" s="1">
        <v>31</v>
      </c>
      <c r="R121" s="1">
        <v>28</v>
      </c>
      <c r="S121" s="19">
        <f t="shared" si="19"/>
        <v>0.10714285714285714</v>
      </c>
      <c r="T121" s="1">
        <v>8056</v>
      </c>
      <c r="U121" s="1">
        <v>6922</v>
      </c>
      <c r="V121" s="19">
        <f t="shared" si="20"/>
        <v>0.16382548396417221</v>
      </c>
      <c r="W121" s="1">
        <v>40</v>
      </c>
      <c r="X121" s="4">
        <v>34.5</v>
      </c>
      <c r="Y121" s="19">
        <f t="shared" si="21"/>
        <v>0.15942028985507245</v>
      </c>
      <c r="Z121" s="5">
        <v>3.5</v>
      </c>
      <c r="AA121" s="17">
        <f>X121/U121</f>
        <v>4.9841086391216411E-3</v>
      </c>
      <c r="AB121" s="17">
        <f>W121/T121</f>
        <v>4.9652432969215492E-3</v>
      </c>
      <c r="AC121" s="17">
        <f t="shared" si="22"/>
        <v>-3.7850985133053953E-3</v>
      </c>
      <c r="AD121" s="18">
        <f>O121/X121</f>
        <v>385.50724637681162</v>
      </c>
      <c r="AE121" s="18">
        <f>N121/W121</f>
        <v>368.125</v>
      </c>
      <c r="AF121" s="16">
        <f t="shared" si="23"/>
        <v>-4.5089285714285783E-2</v>
      </c>
      <c r="AG121">
        <f t="shared" si="24"/>
        <v>475</v>
      </c>
      <c r="AH121">
        <f t="shared" si="25"/>
        <v>475</v>
      </c>
      <c r="AI121" s="16">
        <f t="shared" si="26"/>
        <v>0</v>
      </c>
      <c r="AJ121" s="18">
        <f t="shared" si="27"/>
        <v>13.856132075471699</v>
      </c>
      <c r="AK121" s="18">
        <f t="shared" si="28"/>
        <v>15.920254261774053</v>
      </c>
      <c r="AL121" s="15">
        <f t="shared" si="29"/>
        <v>0.86808510638297876</v>
      </c>
    </row>
    <row r="122" spans="1:38" x14ac:dyDescent="0.35">
      <c r="A122" s="1" t="s">
        <v>22</v>
      </c>
      <c r="B122" s="1" t="s">
        <v>16</v>
      </c>
      <c r="C122" s="1">
        <v>1</v>
      </c>
      <c r="D122" s="1" t="s">
        <v>48</v>
      </c>
      <c r="E122" s="2">
        <v>279</v>
      </c>
      <c r="F122" s="2">
        <v>249</v>
      </c>
      <c r="G122" s="2">
        <f t="shared" si="15"/>
        <v>30</v>
      </c>
      <c r="H122" s="3">
        <f>E122*K122</f>
        <v>16461</v>
      </c>
      <c r="I122" s="3">
        <f>F122*L122</f>
        <v>14442</v>
      </c>
      <c r="J122" s="19">
        <f t="shared" si="16"/>
        <v>0.13980058163689241</v>
      </c>
      <c r="K122" s="4">
        <v>59</v>
      </c>
      <c r="L122" s="4">
        <v>58</v>
      </c>
      <c r="M122" s="19">
        <f t="shared" si="17"/>
        <v>1.7241379310344827E-2</v>
      </c>
      <c r="N122" s="3">
        <f>E122*Q122</f>
        <v>20088</v>
      </c>
      <c r="O122" s="3">
        <f>F122*R122</f>
        <v>18177</v>
      </c>
      <c r="P122" s="19">
        <f t="shared" si="18"/>
        <v>0.10513286020795511</v>
      </c>
      <c r="Q122" s="1">
        <v>72</v>
      </c>
      <c r="R122" s="1">
        <v>73</v>
      </c>
      <c r="S122" s="19">
        <f t="shared" si="19"/>
        <v>-1.3698630136986301E-2</v>
      </c>
      <c r="T122" s="1">
        <v>9561</v>
      </c>
      <c r="U122" s="1">
        <v>10452</v>
      </c>
      <c r="V122" s="19">
        <f t="shared" si="20"/>
        <v>-8.5246842709529272E-2</v>
      </c>
      <c r="W122" s="1">
        <v>62</v>
      </c>
      <c r="X122" s="1">
        <v>68</v>
      </c>
      <c r="Y122" s="19">
        <f t="shared" si="21"/>
        <v>-8.8235294117647065E-2</v>
      </c>
      <c r="Z122" s="1">
        <v>4.5999999999999996</v>
      </c>
      <c r="AA122" s="17">
        <f>X122/U122</f>
        <v>6.5059318790662074E-3</v>
      </c>
      <c r="AB122" s="17">
        <f>W122/T122</f>
        <v>6.4846773350067987E-3</v>
      </c>
      <c r="AC122" s="17">
        <f t="shared" si="22"/>
        <v>-3.2669484486608784E-3</v>
      </c>
      <c r="AD122" s="18">
        <f>O122/X122</f>
        <v>267.30882352941177</v>
      </c>
      <c r="AE122" s="18">
        <f>N122/W122</f>
        <v>324</v>
      </c>
      <c r="AF122" s="16">
        <f t="shared" si="23"/>
        <v>0.21208120151840237</v>
      </c>
      <c r="AG122">
        <f t="shared" si="24"/>
        <v>249</v>
      </c>
      <c r="AH122">
        <f t="shared" si="25"/>
        <v>279</v>
      </c>
      <c r="AI122" s="16">
        <f t="shared" si="26"/>
        <v>0.12048192771084337</v>
      </c>
      <c r="AJ122" s="18">
        <f t="shared" si="27"/>
        <v>3.8227172889865075</v>
      </c>
      <c r="AK122" s="18">
        <f t="shared" si="28"/>
        <v>3.1208381171067736</v>
      </c>
      <c r="AL122" s="15">
        <f t="shared" si="29"/>
        <v>0.45038167938931295</v>
      </c>
    </row>
    <row r="123" spans="1:38" x14ac:dyDescent="0.35">
      <c r="A123" s="1" t="s">
        <v>22</v>
      </c>
      <c r="B123" s="6" t="s">
        <v>28</v>
      </c>
      <c r="C123" s="1">
        <v>2</v>
      </c>
      <c r="D123" s="1" t="s">
        <v>48</v>
      </c>
      <c r="E123" s="2">
        <v>354</v>
      </c>
      <c r="F123" s="2">
        <v>354</v>
      </c>
      <c r="G123" s="2">
        <f t="shared" si="15"/>
        <v>0</v>
      </c>
      <c r="H123" s="3">
        <f>E123*K123</f>
        <v>45312</v>
      </c>
      <c r="I123" s="3">
        <f>F123*L123</f>
        <v>41064</v>
      </c>
      <c r="J123" s="19">
        <f t="shared" si="16"/>
        <v>0.10344827586206896</v>
      </c>
      <c r="K123" s="4">
        <v>128</v>
      </c>
      <c r="L123" s="4">
        <v>116</v>
      </c>
      <c r="M123" s="19">
        <f t="shared" si="17"/>
        <v>0.10344827586206896</v>
      </c>
      <c r="N123" s="3">
        <f>E123*Q123</f>
        <v>37878</v>
      </c>
      <c r="O123" s="3">
        <f>F123*R123</f>
        <v>35400</v>
      </c>
      <c r="P123" s="19">
        <f t="shared" si="18"/>
        <v>7.0000000000000007E-2</v>
      </c>
      <c r="Q123" s="1">
        <v>107</v>
      </c>
      <c r="R123" s="1">
        <v>100</v>
      </c>
      <c r="S123" s="19">
        <f t="shared" si="19"/>
        <v>7.0000000000000007E-2</v>
      </c>
      <c r="T123" s="1">
        <v>4961</v>
      </c>
      <c r="U123" s="1">
        <v>4867</v>
      </c>
      <c r="V123" s="19">
        <f t="shared" si="20"/>
        <v>1.9313745633860693E-2</v>
      </c>
      <c r="W123" s="1">
        <v>97</v>
      </c>
      <c r="X123" s="1">
        <v>95</v>
      </c>
      <c r="Y123" s="19">
        <f t="shared" si="21"/>
        <v>2.1052631578947368E-2</v>
      </c>
      <c r="Z123" s="5">
        <v>2.9000000000000004</v>
      </c>
      <c r="AA123" s="17">
        <f>X123/U123</f>
        <v>1.9519211012944317E-2</v>
      </c>
      <c r="AB123" s="17">
        <f>W123/T123</f>
        <v>1.9552509574682523E-2</v>
      </c>
      <c r="AC123" s="17">
        <f t="shared" si="22"/>
        <v>1.7059378945247024E-3</v>
      </c>
      <c r="AD123" s="18">
        <f>O123/X123</f>
        <v>372.63157894736844</v>
      </c>
      <c r="AE123" s="18">
        <f>N123/W123</f>
        <v>390.49484536082474</v>
      </c>
      <c r="AF123" s="16">
        <f t="shared" si="23"/>
        <v>4.7938144329896855E-2</v>
      </c>
      <c r="AG123">
        <f t="shared" si="24"/>
        <v>354</v>
      </c>
      <c r="AH123">
        <f t="shared" si="25"/>
        <v>354</v>
      </c>
      <c r="AI123" s="16">
        <f t="shared" si="26"/>
        <v>0</v>
      </c>
      <c r="AJ123" s="18">
        <f t="shared" si="27"/>
        <v>16.76879661358597</v>
      </c>
      <c r="AK123" s="18">
        <f t="shared" si="28"/>
        <v>15.710704746250256</v>
      </c>
      <c r="AL123" s="15">
        <f t="shared" si="29"/>
        <v>0.5446808510638298</v>
      </c>
    </row>
    <row r="124" spans="1:38" x14ac:dyDescent="0.35">
      <c r="A124" s="1" t="s">
        <v>22</v>
      </c>
      <c r="B124" s="6" t="s">
        <v>29</v>
      </c>
      <c r="C124" s="1">
        <v>3</v>
      </c>
      <c r="D124" s="1" t="s">
        <v>48</v>
      </c>
      <c r="E124" s="2">
        <v>198</v>
      </c>
      <c r="F124" s="2">
        <v>198</v>
      </c>
      <c r="G124" s="2">
        <f t="shared" si="15"/>
        <v>0</v>
      </c>
      <c r="H124" s="3">
        <f>E124*K124</f>
        <v>25344</v>
      </c>
      <c r="I124" s="3">
        <f>F124*L124</f>
        <v>25146</v>
      </c>
      <c r="J124" s="19">
        <f t="shared" si="16"/>
        <v>7.874015748031496E-3</v>
      </c>
      <c r="K124" s="4">
        <v>128</v>
      </c>
      <c r="L124" s="4">
        <v>127</v>
      </c>
      <c r="M124" s="19">
        <f t="shared" si="17"/>
        <v>7.874015748031496E-3</v>
      </c>
      <c r="N124" s="3">
        <f>E124*Q124</f>
        <v>10692</v>
      </c>
      <c r="O124" s="3">
        <f>F124*R124</f>
        <v>10296</v>
      </c>
      <c r="P124" s="19">
        <f t="shared" si="18"/>
        <v>3.8461538461538464E-2</v>
      </c>
      <c r="Q124" s="1">
        <v>54</v>
      </c>
      <c r="R124" s="1">
        <v>52</v>
      </c>
      <c r="S124" s="19">
        <f t="shared" si="19"/>
        <v>3.8461538461538464E-2</v>
      </c>
      <c r="T124" s="1">
        <v>9044</v>
      </c>
      <c r="U124" s="1">
        <v>8972</v>
      </c>
      <c r="V124" s="19">
        <f t="shared" si="20"/>
        <v>8.024966562639322E-3</v>
      </c>
      <c r="W124" s="1">
        <v>44</v>
      </c>
      <c r="X124" s="1">
        <v>47</v>
      </c>
      <c r="Y124" s="19">
        <f t="shared" si="21"/>
        <v>-6.3829787234042548E-2</v>
      </c>
      <c r="Z124" s="5">
        <v>2.8</v>
      </c>
      <c r="AA124" s="17">
        <f>X124/U124</f>
        <v>5.2385198395006691E-3</v>
      </c>
      <c r="AB124" s="17">
        <f>W124/T124</f>
        <v>4.8651039363113669E-3</v>
      </c>
      <c r="AC124" s="17">
        <f t="shared" si="22"/>
        <v>-7.1282712413072741E-2</v>
      </c>
      <c r="AD124" s="18">
        <f>O124/X124</f>
        <v>219.06382978723406</v>
      </c>
      <c r="AE124" s="18">
        <f>N124/W124</f>
        <v>243</v>
      </c>
      <c r="AF124" s="16">
        <f t="shared" si="23"/>
        <v>0.1092657342657342</v>
      </c>
      <c r="AG124">
        <f t="shared" si="24"/>
        <v>198</v>
      </c>
      <c r="AH124">
        <f t="shared" si="25"/>
        <v>198</v>
      </c>
      <c r="AI124" s="16">
        <f t="shared" si="26"/>
        <v>0</v>
      </c>
      <c r="AJ124" s="18">
        <f t="shared" si="27"/>
        <v>3.9845201238390091</v>
      </c>
      <c r="AK124" s="18">
        <f t="shared" si="28"/>
        <v>3.9502897904592063</v>
      </c>
      <c r="AL124" s="15">
        <f t="shared" si="29"/>
        <v>0.70329670329670335</v>
      </c>
    </row>
    <row r="125" spans="1:38" x14ac:dyDescent="0.35">
      <c r="A125" s="1" t="s">
        <v>22</v>
      </c>
      <c r="B125" s="6" t="s">
        <v>30</v>
      </c>
      <c r="C125" s="1">
        <v>4</v>
      </c>
      <c r="D125" s="1" t="s">
        <v>48</v>
      </c>
      <c r="E125" s="2">
        <v>150</v>
      </c>
      <c r="F125" s="2">
        <v>149</v>
      </c>
      <c r="G125" s="2">
        <f t="shared" si="15"/>
        <v>1</v>
      </c>
      <c r="H125" s="3">
        <f>E125*K125</f>
        <v>25200</v>
      </c>
      <c r="I125" s="3">
        <f>F125*L125</f>
        <v>25479</v>
      </c>
      <c r="J125" s="19">
        <f t="shared" si="16"/>
        <v>-1.0950194277640411E-2</v>
      </c>
      <c r="K125" s="4">
        <v>168</v>
      </c>
      <c r="L125" s="4">
        <v>171</v>
      </c>
      <c r="M125" s="19">
        <f t="shared" si="17"/>
        <v>-1.7543859649122806E-2</v>
      </c>
      <c r="N125" s="3">
        <f>E125*Q125</f>
        <v>6000</v>
      </c>
      <c r="O125" s="3">
        <f>F125*R125</f>
        <v>5811</v>
      </c>
      <c r="P125" s="19">
        <f t="shared" si="18"/>
        <v>3.2524522457408361E-2</v>
      </c>
      <c r="Q125" s="1">
        <v>40</v>
      </c>
      <c r="R125" s="1">
        <v>39</v>
      </c>
      <c r="S125" s="19">
        <f t="shared" si="19"/>
        <v>2.564102564102564E-2</v>
      </c>
      <c r="T125" s="1">
        <v>4284</v>
      </c>
      <c r="U125" s="1">
        <v>4512</v>
      </c>
      <c r="V125" s="19">
        <f t="shared" si="20"/>
        <v>-5.0531914893617018E-2</v>
      </c>
      <c r="W125" s="1">
        <v>36</v>
      </c>
      <c r="X125" s="1">
        <v>34</v>
      </c>
      <c r="Y125" s="19">
        <f t="shared" si="21"/>
        <v>5.8823529411764705E-2</v>
      </c>
      <c r="Z125" s="5">
        <v>3.3</v>
      </c>
      <c r="AA125" s="17">
        <f>X125/U125</f>
        <v>7.535460992907801E-3</v>
      </c>
      <c r="AB125" s="17">
        <f>W125/T125</f>
        <v>8.4033613445378148E-3</v>
      </c>
      <c r="AC125" s="17">
        <f t="shared" si="22"/>
        <v>0.11517548195748889</v>
      </c>
      <c r="AD125" s="18">
        <f>O125/X125</f>
        <v>170.91176470588235</v>
      </c>
      <c r="AE125" s="18">
        <f>N125/W125</f>
        <v>166.66666666666666</v>
      </c>
      <c r="AF125" s="16">
        <f t="shared" si="23"/>
        <v>-2.4837951012447682E-2</v>
      </c>
      <c r="AG125">
        <f t="shared" si="24"/>
        <v>149</v>
      </c>
      <c r="AH125">
        <f t="shared" si="25"/>
        <v>150</v>
      </c>
      <c r="AI125" s="16">
        <f t="shared" si="26"/>
        <v>6.7114093959731542E-3</v>
      </c>
      <c r="AJ125" s="18">
        <f t="shared" si="27"/>
        <v>7.2829131652661063</v>
      </c>
      <c r="AK125" s="18">
        <f t="shared" si="28"/>
        <v>6.9348404255319149</v>
      </c>
      <c r="AL125" s="15">
        <f t="shared" si="29"/>
        <v>0.80769230769230771</v>
      </c>
    </row>
    <row r="126" spans="1:38" x14ac:dyDescent="0.35">
      <c r="A126" s="1" t="s">
        <v>22</v>
      </c>
      <c r="B126" s="6" t="s">
        <v>31</v>
      </c>
      <c r="C126" s="1">
        <v>5</v>
      </c>
      <c r="D126" s="1" t="s">
        <v>48</v>
      </c>
      <c r="E126" s="2">
        <v>506</v>
      </c>
      <c r="F126" s="2">
        <v>499.9</v>
      </c>
      <c r="G126" s="2">
        <f t="shared" si="15"/>
        <v>6.1000000000000227</v>
      </c>
      <c r="H126" s="3">
        <f>E126*K126</f>
        <v>83490</v>
      </c>
      <c r="I126" s="3">
        <f>F126*L126</f>
        <v>76984.599999999991</v>
      </c>
      <c r="J126" s="19">
        <f t="shared" si="16"/>
        <v>8.4502614808676144E-2</v>
      </c>
      <c r="K126" s="4">
        <v>165</v>
      </c>
      <c r="L126" s="4">
        <v>154</v>
      </c>
      <c r="M126" s="19">
        <f t="shared" si="17"/>
        <v>7.1428571428571425E-2</v>
      </c>
      <c r="N126" s="3">
        <f>E126*Q126</f>
        <v>14168</v>
      </c>
      <c r="O126" s="3">
        <f>F126*R126</f>
        <v>12997.4</v>
      </c>
      <c r="P126" s="19">
        <f t="shared" si="18"/>
        <v>9.0064166679489771E-2</v>
      </c>
      <c r="Q126" s="1">
        <v>28</v>
      </c>
      <c r="R126" s="1">
        <v>26</v>
      </c>
      <c r="S126" s="19">
        <f t="shared" si="19"/>
        <v>7.6923076923076927E-2</v>
      </c>
      <c r="T126" s="1">
        <v>6510</v>
      </c>
      <c r="U126" s="1">
        <v>6419</v>
      </c>
      <c r="V126" s="19">
        <f t="shared" si="20"/>
        <v>1.4176663031624863E-2</v>
      </c>
      <c r="W126" s="1">
        <v>30</v>
      </c>
      <c r="X126" s="1">
        <v>24</v>
      </c>
      <c r="Y126" s="19">
        <f t="shared" si="21"/>
        <v>0.25</v>
      </c>
      <c r="Z126" s="5">
        <v>2.4</v>
      </c>
      <c r="AA126" s="17">
        <f>X126/U126</f>
        <v>3.7389001402087551E-3</v>
      </c>
      <c r="AB126" s="17">
        <f>W126/T126</f>
        <v>4.608294930875576E-3</v>
      </c>
      <c r="AC126" s="17">
        <f t="shared" si="22"/>
        <v>0.23252688172043018</v>
      </c>
      <c r="AD126" s="18">
        <f>O126/X126</f>
        <v>541.55833333333328</v>
      </c>
      <c r="AE126" s="18">
        <f>N126/W126</f>
        <v>472.26666666666665</v>
      </c>
      <c r="AF126" s="16">
        <f t="shared" si="23"/>
        <v>-0.12794866665640814</v>
      </c>
      <c r="AG126">
        <f t="shared" si="24"/>
        <v>499.89999999999992</v>
      </c>
      <c r="AH126">
        <f t="shared" si="25"/>
        <v>506</v>
      </c>
      <c r="AI126" s="16">
        <f t="shared" si="26"/>
        <v>1.2202440488097781E-2</v>
      </c>
      <c r="AJ126" s="18">
        <f t="shared" si="27"/>
        <v>15.001228878648233</v>
      </c>
      <c r="AK126" s="18">
        <f t="shared" si="28"/>
        <v>14.018071350677673</v>
      </c>
      <c r="AL126" s="15">
        <f t="shared" si="29"/>
        <v>0.85492227979274615</v>
      </c>
    </row>
    <row r="127" spans="1:38" x14ac:dyDescent="0.35">
      <c r="A127" s="1" t="s">
        <v>22</v>
      </c>
      <c r="B127" s="6" t="s">
        <v>32</v>
      </c>
      <c r="C127" s="1">
        <v>6</v>
      </c>
      <c r="D127" s="1" t="s">
        <v>48</v>
      </c>
      <c r="E127" s="2">
        <v>421</v>
      </c>
      <c r="F127" s="2">
        <v>399</v>
      </c>
      <c r="G127" s="2">
        <f t="shared" si="15"/>
        <v>22</v>
      </c>
      <c r="H127" s="3">
        <f>E127*K127</f>
        <v>74938</v>
      </c>
      <c r="I127" s="3">
        <f>F127*L127</f>
        <v>67830</v>
      </c>
      <c r="J127" s="19">
        <f t="shared" si="16"/>
        <v>0.10479139024030665</v>
      </c>
      <c r="K127" s="4">
        <v>178</v>
      </c>
      <c r="L127" s="4">
        <v>170</v>
      </c>
      <c r="M127" s="19">
        <f t="shared" si="17"/>
        <v>4.7058823529411764E-2</v>
      </c>
      <c r="N127" s="3">
        <f>E127*Q127</f>
        <v>10104</v>
      </c>
      <c r="O127" s="3">
        <f>F127*R127</f>
        <v>9576</v>
      </c>
      <c r="P127" s="19">
        <f t="shared" si="18"/>
        <v>5.5137844611528819E-2</v>
      </c>
      <c r="Q127" s="1">
        <v>24</v>
      </c>
      <c r="R127" s="1">
        <v>24</v>
      </c>
      <c r="S127" s="19">
        <f t="shared" si="19"/>
        <v>0</v>
      </c>
      <c r="T127" s="1">
        <v>5976</v>
      </c>
      <c r="U127" s="1">
        <v>5461</v>
      </c>
      <c r="V127" s="19">
        <f t="shared" si="20"/>
        <v>9.4305072331074893E-2</v>
      </c>
      <c r="W127" s="1">
        <v>27</v>
      </c>
      <c r="X127" s="4">
        <v>30.8</v>
      </c>
      <c r="Y127" s="19">
        <f t="shared" si="21"/>
        <v>-0.12337662337662339</v>
      </c>
      <c r="Z127" s="5">
        <v>2.9000000000000004</v>
      </c>
      <c r="AA127" s="17">
        <f>X127/U127</f>
        <v>5.6399926753341878E-3</v>
      </c>
      <c r="AB127" s="17">
        <f>W127/T127</f>
        <v>4.5180722891566263E-3</v>
      </c>
      <c r="AC127" s="17">
        <f t="shared" si="22"/>
        <v>-0.19892231262713192</v>
      </c>
      <c r="AD127" s="18">
        <f>O127/X127</f>
        <v>310.90909090909088</v>
      </c>
      <c r="AE127" s="18">
        <f>N127/W127</f>
        <v>374.22222222222223</v>
      </c>
      <c r="AF127" s="16">
        <f t="shared" si="23"/>
        <v>0.20363872644574413</v>
      </c>
      <c r="AG127">
        <f t="shared" si="24"/>
        <v>399</v>
      </c>
      <c r="AH127">
        <f t="shared" si="25"/>
        <v>421</v>
      </c>
      <c r="AI127" s="16">
        <f t="shared" si="26"/>
        <v>5.5137844611528819E-2</v>
      </c>
      <c r="AJ127" s="18">
        <f t="shared" si="27"/>
        <v>14.230589022757698</v>
      </c>
      <c r="AK127" s="18">
        <f t="shared" si="28"/>
        <v>14.174327046328511</v>
      </c>
      <c r="AL127" s="15">
        <f t="shared" si="29"/>
        <v>0.88118811881188119</v>
      </c>
    </row>
    <row r="128" spans="1:38" x14ac:dyDescent="0.35">
      <c r="A128" s="1" t="s">
        <v>22</v>
      </c>
      <c r="B128" s="6" t="s">
        <v>33</v>
      </c>
      <c r="C128" s="1">
        <v>7</v>
      </c>
      <c r="D128" s="1" t="s">
        <v>48</v>
      </c>
      <c r="E128" s="2">
        <v>419</v>
      </c>
      <c r="F128" s="2">
        <v>419</v>
      </c>
      <c r="G128" s="2">
        <f t="shared" si="15"/>
        <v>0</v>
      </c>
      <c r="H128" s="3">
        <f>E128*K128</f>
        <v>83381</v>
      </c>
      <c r="I128" s="3">
        <f>F128*L128</f>
        <v>86314</v>
      </c>
      <c r="J128" s="19">
        <f t="shared" si="16"/>
        <v>-3.3980582524271843E-2</v>
      </c>
      <c r="K128" s="4">
        <v>199</v>
      </c>
      <c r="L128" s="4">
        <v>206</v>
      </c>
      <c r="M128" s="19">
        <f t="shared" si="17"/>
        <v>-3.3980582524271843E-2</v>
      </c>
      <c r="N128" s="3">
        <f>E128*Q128</f>
        <v>38967</v>
      </c>
      <c r="O128" s="3">
        <f>F128*R128</f>
        <v>34777</v>
      </c>
      <c r="P128" s="19">
        <f t="shared" si="18"/>
        <v>0.12048192771084337</v>
      </c>
      <c r="Q128" s="1">
        <v>93</v>
      </c>
      <c r="R128" s="1">
        <v>83</v>
      </c>
      <c r="S128" s="19">
        <f t="shared" si="19"/>
        <v>0.12048192771084337</v>
      </c>
      <c r="T128" s="1">
        <v>11779</v>
      </c>
      <c r="U128" s="1">
        <v>11500</v>
      </c>
      <c r="V128" s="19">
        <f t="shared" si="20"/>
        <v>2.4260869565217391E-2</v>
      </c>
      <c r="W128" s="1">
        <v>83</v>
      </c>
      <c r="X128" s="4">
        <v>72.099999999999994</v>
      </c>
      <c r="Y128" s="19">
        <f t="shared" si="21"/>
        <v>0.15117891816920953</v>
      </c>
      <c r="Z128" s="5">
        <v>3.9000000000000004</v>
      </c>
      <c r="AA128" s="17">
        <f>X128/U128</f>
        <v>6.2695652173913041E-3</v>
      </c>
      <c r="AB128" s="17">
        <f>W128/T128</f>
        <v>7.0464385771287887E-3</v>
      </c>
      <c r="AC128" s="17">
        <f t="shared" si="22"/>
        <v>0.12391183962525759</v>
      </c>
      <c r="AD128" s="18">
        <f>O128/X128</f>
        <v>482.3439667128988</v>
      </c>
      <c r="AE128" s="18">
        <f>N128/W128</f>
        <v>469.48192771084337</v>
      </c>
      <c r="AF128" s="16">
        <f t="shared" si="23"/>
        <v>-2.6665698940339797E-2</v>
      </c>
      <c r="AG128">
        <f t="shared" si="24"/>
        <v>419</v>
      </c>
      <c r="AH128">
        <f t="shared" si="25"/>
        <v>419</v>
      </c>
      <c r="AI128" s="16">
        <f t="shared" si="26"/>
        <v>0</v>
      </c>
      <c r="AJ128" s="18">
        <f t="shared" si="27"/>
        <v>10.386959843789795</v>
      </c>
      <c r="AK128" s="18">
        <f t="shared" si="28"/>
        <v>10.529652173913043</v>
      </c>
      <c r="AL128" s="15">
        <f t="shared" si="29"/>
        <v>0.68150684931506844</v>
      </c>
    </row>
    <row r="129" spans="1:38" x14ac:dyDescent="0.35">
      <c r="A129" s="1" t="s">
        <v>22</v>
      </c>
      <c r="B129" s="6" t="s">
        <v>34</v>
      </c>
      <c r="C129" s="1">
        <v>8</v>
      </c>
      <c r="D129" s="1" t="s">
        <v>49</v>
      </c>
      <c r="E129" s="2">
        <v>149</v>
      </c>
      <c r="F129" s="2">
        <v>129.9</v>
      </c>
      <c r="G129" s="2">
        <f t="shared" si="15"/>
        <v>19.099999999999994</v>
      </c>
      <c r="H129" s="3">
        <f>E129*K129</f>
        <v>27416</v>
      </c>
      <c r="I129" s="3">
        <f>F129*L129</f>
        <v>22342.799999999999</v>
      </c>
      <c r="J129" s="19">
        <f t="shared" si="16"/>
        <v>0.22706196179529875</v>
      </c>
      <c r="K129" s="4">
        <v>184</v>
      </c>
      <c r="L129" s="4">
        <v>172</v>
      </c>
      <c r="M129" s="19">
        <f t="shared" si="17"/>
        <v>6.9767441860465115E-2</v>
      </c>
      <c r="N129" s="3">
        <f>E129*Q129</f>
        <v>16688</v>
      </c>
      <c r="O129" s="3">
        <f>F129*R129</f>
        <v>12860.1</v>
      </c>
      <c r="P129" s="19">
        <f t="shared" si="18"/>
        <v>0.29765709442383803</v>
      </c>
      <c r="Q129" s="1">
        <v>112</v>
      </c>
      <c r="R129" s="1">
        <v>99</v>
      </c>
      <c r="S129" s="19">
        <f t="shared" si="19"/>
        <v>0.13131313131313133</v>
      </c>
      <c r="T129" s="1">
        <v>7314</v>
      </c>
      <c r="U129" s="1">
        <v>7063</v>
      </c>
      <c r="V129" s="19">
        <f t="shared" si="20"/>
        <v>3.5537307093303126E-2</v>
      </c>
      <c r="W129" s="1">
        <v>102</v>
      </c>
      <c r="X129" s="1">
        <v>94</v>
      </c>
      <c r="Y129" s="19">
        <f t="shared" si="21"/>
        <v>8.5106382978723402E-2</v>
      </c>
      <c r="Z129" s="1">
        <v>4</v>
      </c>
      <c r="AA129" s="17">
        <f>X129/U129</f>
        <v>1.3308792297890415E-2</v>
      </c>
      <c r="AB129" s="17">
        <f>W129/T129</f>
        <v>1.3945857260049221E-2</v>
      </c>
      <c r="AC129" s="17">
        <f t="shared" si="22"/>
        <v>4.7867976890719602E-2</v>
      </c>
      <c r="AD129" s="18">
        <f>O129/X129</f>
        <v>136.80957446808512</v>
      </c>
      <c r="AE129" s="18">
        <f>N129/W129</f>
        <v>163.60784313725489</v>
      </c>
      <c r="AF129" s="16">
        <f t="shared" si="23"/>
        <v>0.19588006741020353</v>
      </c>
      <c r="AG129">
        <f t="shared" si="24"/>
        <v>129.9</v>
      </c>
      <c r="AH129">
        <f t="shared" si="25"/>
        <v>149</v>
      </c>
      <c r="AI129" s="16">
        <f t="shared" si="26"/>
        <v>0.14703618167821397</v>
      </c>
      <c r="AJ129" s="18">
        <f t="shared" si="27"/>
        <v>6.0300792999726553</v>
      </c>
      <c r="AK129" s="18">
        <f t="shared" si="28"/>
        <v>4.9841285572702816</v>
      </c>
      <c r="AL129" s="15">
        <f t="shared" si="29"/>
        <v>0.6216216216216216</v>
      </c>
    </row>
    <row r="130" spans="1:38" x14ac:dyDescent="0.35">
      <c r="A130" s="1" t="s">
        <v>22</v>
      </c>
      <c r="B130" s="6" t="s">
        <v>35</v>
      </c>
      <c r="C130" s="1">
        <v>9</v>
      </c>
      <c r="D130" s="1" t="s">
        <v>49</v>
      </c>
      <c r="E130" s="2">
        <v>139</v>
      </c>
      <c r="F130" s="2">
        <v>99</v>
      </c>
      <c r="G130" s="2">
        <f t="shared" si="15"/>
        <v>40</v>
      </c>
      <c r="H130" s="3">
        <f>E130*K130</f>
        <v>24742</v>
      </c>
      <c r="I130" s="3">
        <f>F130*L130</f>
        <v>17226</v>
      </c>
      <c r="J130" s="19">
        <f t="shared" si="16"/>
        <v>0.43631719493788457</v>
      </c>
      <c r="K130" s="4">
        <v>178</v>
      </c>
      <c r="L130" s="4">
        <v>174</v>
      </c>
      <c r="M130" s="19">
        <f t="shared" si="17"/>
        <v>2.2988505747126436E-2</v>
      </c>
      <c r="N130" s="3">
        <f>E130*Q130</f>
        <v>2919</v>
      </c>
      <c r="O130" s="3">
        <f>F130*R130</f>
        <v>2079</v>
      </c>
      <c r="P130" s="19">
        <f t="shared" si="18"/>
        <v>0.40404040404040403</v>
      </c>
      <c r="Q130" s="1">
        <v>21</v>
      </c>
      <c r="R130" s="1">
        <v>21</v>
      </c>
      <c r="S130" s="19">
        <f t="shared" si="19"/>
        <v>0</v>
      </c>
      <c r="T130" s="1">
        <v>8849</v>
      </c>
      <c r="U130" s="1">
        <v>9156</v>
      </c>
      <c r="V130" s="19">
        <f t="shared" si="20"/>
        <v>-3.3529925731760592E-2</v>
      </c>
      <c r="W130" s="1">
        <v>22</v>
      </c>
      <c r="X130" s="4">
        <v>27.06</v>
      </c>
      <c r="Y130" s="19">
        <f t="shared" si="21"/>
        <v>-0.18699186991869915</v>
      </c>
      <c r="Z130" s="5">
        <v>2.2000000000000002</v>
      </c>
      <c r="AA130" s="17">
        <f>X130/U130</f>
        <v>2.9554390563564874E-3</v>
      </c>
      <c r="AB130" s="17">
        <f>W130/T130</f>
        <v>2.4861566278675555E-3</v>
      </c>
      <c r="AC130" s="17">
        <f t="shared" si="22"/>
        <v>-0.15878602791000226</v>
      </c>
      <c r="AD130" s="18">
        <f>O130/X130</f>
        <v>76.829268292682926</v>
      </c>
      <c r="AE130" s="18">
        <f>N130/W130</f>
        <v>132.68181818181819</v>
      </c>
      <c r="AF130" s="16">
        <f t="shared" si="23"/>
        <v>0.72696969696969704</v>
      </c>
      <c r="AG130">
        <f t="shared" si="24"/>
        <v>99</v>
      </c>
      <c r="AH130">
        <f t="shared" si="25"/>
        <v>139</v>
      </c>
      <c r="AI130" s="16">
        <f t="shared" si="26"/>
        <v>0.40404040404040403</v>
      </c>
      <c r="AJ130" s="18">
        <f t="shared" si="27"/>
        <v>3.1258899310656569</v>
      </c>
      <c r="AK130" s="18">
        <f t="shared" si="28"/>
        <v>2.1084534731323723</v>
      </c>
      <c r="AL130" s="15">
        <f t="shared" si="29"/>
        <v>0.89447236180904521</v>
      </c>
    </row>
    <row r="131" spans="1:38" x14ac:dyDescent="0.35">
      <c r="A131" s="1" t="s">
        <v>22</v>
      </c>
      <c r="B131" s="6" t="s">
        <v>36</v>
      </c>
      <c r="C131" s="1">
        <v>10</v>
      </c>
      <c r="D131" s="1" t="s">
        <v>49</v>
      </c>
      <c r="E131" s="2">
        <v>79</v>
      </c>
      <c r="F131" s="2">
        <v>79</v>
      </c>
      <c r="G131" s="2">
        <f t="shared" ref="G131:G194" si="30">E131-F131</f>
        <v>0</v>
      </c>
      <c r="H131" s="3">
        <f>E131*K131</f>
        <v>11692</v>
      </c>
      <c r="I131" s="3">
        <f>F131*L131</f>
        <v>10349</v>
      </c>
      <c r="J131" s="19">
        <f t="shared" ref="J131:J194" si="31">(H131-I131)/I131</f>
        <v>0.12977099236641221</v>
      </c>
      <c r="K131" s="4">
        <v>148</v>
      </c>
      <c r="L131" s="4">
        <v>131</v>
      </c>
      <c r="M131" s="19">
        <f t="shared" ref="M131:M194" si="32">(K131-L131)/L131</f>
        <v>0.12977099236641221</v>
      </c>
      <c r="N131" s="3">
        <f>E131*Q131</f>
        <v>6873</v>
      </c>
      <c r="O131" s="3">
        <f>F131*R131</f>
        <v>7031</v>
      </c>
      <c r="P131" s="19">
        <f t="shared" ref="P131:P194" si="33">(N131-O131)/O131</f>
        <v>-2.247191011235955E-2</v>
      </c>
      <c r="Q131" s="1">
        <v>87</v>
      </c>
      <c r="R131" s="1">
        <v>89</v>
      </c>
      <c r="S131" s="19">
        <f t="shared" ref="S131:S194" si="34">(Q131-R131)/R131</f>
        <v>-2.247191011235955E-2</v>
      </c>
      <c r="T131" s="1">
        <v>13718</v>
      </c>
      <c r="U131" s="1">
        <v>14037</v>
      </c>
      <c r="V131" s="19">
        <f t="shared" ref="V131:V194" si="35">(T131-U131)/U131</f>
        <v>-2.2725653629692956E-2</v>
      </c>
      <c r="W131" s="1">
        <v>77</v>
      </c>
      <c r="X131" s="1">
        <v>84</v>
      </c>
      <c r="Y131" s="19">
        <f t="shared" ref="Y131:Y194" si="36">(W131-X131)/X131</f>
        <v>-8.3333333333333329E-2</v>
      </c>
      <c r="Z131" s="5">
        <v>2.9000000000000004</v>
      </c>
      <c r="AA131" s="17">
        <f>X131/U131</f>
        <v>5.984184654840778E-3</v>
      </c>
      <c r="AB131" s="17">
        <f>W131/T131</f>
        <v>5.6130631287359669E-3</v>
      </c>
      <c r="AC131" s="17">
        <f t="shared" ref="AC131:AC194" si="37">(AB131-AA131)/AA131</f>
        <v>-6.2017057880157531E-2</v>
      </c>
      <c r="AD131" s="18">
        <f>O131/X131</f>
        <v>83.702380952380949</v>
      </c>
      <c r="AE131" s="18">
        <f>N131/W131</f>
        <v>89.259740259740255</v>
      </c>
      <c r="AF131" s="16">
        <f t="shared" ref="AF131:AF194" si="38">(AE131-AD131)/AD131</f>
        <v>6.6394279877425924E-2</v>
      </c>
      <c r="AG131">
        <f t="shared" ref="AG131:AG194" si="39">I131/L131</f>
        <v>79</v>
      </c>
      <c r="AH131">
        <f t="shared" ref="AH131:AH194" si="40">H131/K131</f>
        <v>79</v>
      </c>
      <c r="AI131" s="16">
        <f t="shared" ref="AI131:AI194" si="41">(AH131-AG131)/AG131</f>
        <v>0</v>
      </c>
      <c r="AJ131" s="18">
        <f t="shared" ref="AJ131:AJ194" si="42">(H131+N131)/T131</f>
        <v>1.3533313894153667</v>
      </c>
      <c r="AK131" s="18">
        <f t="shared" ref="AK131:AK194" si="43">(O131+I131)/U131</f>
        <v>1.2381563012039609</v>
      </c>
      <c r="AL131" s="15">
        <f t="shared" ref="AL131:AL194" si="44">H131/(H131+N131)</f>
        <v>0.62978723404255321</v>
      </c>
    </row>
    <row r="132" spans="1:38" x14ac:dyDescent="0.35">
      <c r="A132" s="1" t="s">
        <v>22</v>
      </c>
      <c r="B132" s="6" t="s">
        <v>37</v>
      </c>
      <c r="C132" s="1">
        <v>11</v>
      </c>
      <c r="D132" s="1" t="s">
        <v>49</v>
      </c>
      <c r="E132" s="2">
        <v>129</v>
      </c>
      <c r="F132" s="2">
        <v>129</v>
      </c>
      <c r="G132" s="2">
        <f t="shared" si="30"/>
        <v>0</v>
      </c>
      <c r="H132" s="3">
        <f>E132*K132</f>
        <v>23478</v>
      </c>
      <c r="I132" s="3">
        <f>F132*L132</f>
        <v>22704</v>
      </c>
      <c r="J132" s="19">
        <f t="shared" si="31"/>
        <v>3.4090909090909088E-2</v>
      </c>
      <c r="K132" s="4">
        <v>182</v>
      </c>
      <c r="L132" s="4">
        <v>176</v>
      </c>
      <c r="M132" s="19">
        <f t="shared" si="32"/>
        <v>3.4090909090909088E-2</v>
      </c>
      <c r="N132" s="3">
        <f>E132*Q132</f>
        <v>15480</v>
      </c>
      <c r="O132" s="3">
        <f>F132*R132</f>
        <v>15996</v>
      </c>
      <c r="P132" s="19">
        <f t="shared" si="33"/>
        <v>-3.2258064516129031E-2</v>
      </c>
      <c r="Q132" s="1">
        <v>120</v>
      </c>
      <c r="R132" s="1">
        <v>124</v>
      </c>
      <c r="S132" s="19">
        <f t="shared" si="34"/>
        <v>-3.2258064516129031E-2</v>
      </c>
      <c r="T132" s="1">
        <v>4482</v>
      </c>
      <c r="U132" s="1">
        <v>4247</v>
      </c>
      <c r="V132" s="19">
        <f t="shared" si="35"/>
        <v>5.5333176359783375E-2</v>
      </c>
      <c r="W132" s="1">
        <v>110</v>
      </c>
      <c r="X132" s="4">
        <v>100.80000000000001</v>
      </c>
      <c r="Y132" s="19">
        <f t="shared" si="36"/>
        <v>9.126984126984114E-2</v>
      </c>
      <c r="Z132" s="5">
        <v>1.9</v>
      </c>
      <c r="AA132" s="17">
        <f>X132/U132</f>
        <v>2.3734400753473044E-2</v>
      </c>
      <c r="AB132" s="17">
        <f>W132/T132</f>
        <v>2.4542614904060688E-2</v>
      </c>
      <c r="AC132" s="17">
        <f t="shared" si="37"/>
        <v>3.4052435491525063E-2</v>
      </c>
      <c r="AD132" s="18">
        <f>O132/X132</f>
        <v>158.69047619047618</v>
      </c>
      <c r="AE132" s="18">
        <f>N132/W132</f>
        <v>140.72727272727272</v>
      </c>
      <c r="AF132" s="16">
        <f t="shared" si="38"/>
        <v>-0.11319648093841639</v>
      </c>
      <c r="AG132">
        <f t="shared" si="39"/>
        <v>129</v>
      </c>
      <c r="AH132">
        <f t="shared" si="40"/>
        <v>129</v>
      </c>
      <c r="AI132" s="16">
        <f t="shared" si="41"/>
        <v>0</v>
      </c>
      <c r="AJ132" s="18">
        <f t="shared" si="42"/>
        <v>8.6921017402945111</v>
      </c>
      <c r="AK132" s="18">
        <f t="shared" si="43"/>
        <v>9.1123145749941141</v>
      </c>
      <c r="AL132" s="15">
        <f t="shared" si="44"/>
        <v>0.60264900662251653</v>
      </c>
    </row>
    <row r="133" spans="1:38" x14ac:dyDescent="0.35">
      <c r="A133" s="1" t="s">
        <v>22</v>
      </c>
      <c r="B133" s="6" t="s">
        <v>38</v>
      </c>
      <c r="C133" s="1">
        <v>12</v>
      </c>
      <c r="D133" s="1" t="s">
        <v>50</v>
      </c>
      <c r="E133" s="2">
        <v>779</v>
      </c>
      <c r="F133" s="2">
        <v>649.20000000000005</v>
      </c>
      <c r="G133" s="2">
        <f t="shared" si="30"/>
        <v>129.79999999999995</v>
      </c>
      <c r="H133" s="3">
        <f>E133*K133</f>
        <v>116071</v>
      </c>
      <c r="I133" s="3">
        <f>F133*L133</f>
        <v>99976.8</v>
      </c>
      <c r="J133" s="19">
        <f t="shared" si="31"/>
        <v>0.16097934720855234</v>
      </c>
      <c r="K133" s="4">
        <v>149</v>
      </c>
      <c r="L133" s="4">
        <v>154</v>
      </c>
      <c r="M133" s="19">
        <f t="shared" si="32"/>
        <v>-3.2467532467532464E-2</v>
      </c>
      <c r="N133" s="3">
        <f>E133*Q133</f>
        <v>31939</v>
      </c>
      <c r="O133" s="3">
        <f>F133*R133</f>
        <v>25968</v>
      </c>
      <c r="P133" s="19">
        <f t="shared" si="33"/>
        <v>0.22993684534812076</v>
      </c>
      <c r="Q133" s="1">
        <v>41</v>
      </c>
      <c r="R133" s="1">
        <v>40</v>
      </c>
      <c r="S133" s="19">
        <f t="shared" si="34"/>
        <v>2.5000000000000001E-2</v>
      </c>
      <c r="T133" s="1">
        <v>8334</v>
      </c>
      <c r="U133" s="1">
        <v>7991</v>
      </c>
      <c r="V133" s="19">
        <f t="shared" si="35"/>
        <v>4.292328869978726E-2</v>
      </c>
      <c r="W133" s="1">
        <v>31</v>
      </c>
      <c r="X133" s="1">
        <v>35</v>
      </c>
      <c r="Y133" s="19">
        <f t="shared" si="36"/>
        <v>-0.11428571428571428</v>
      </c>
      <c r="Z133" s="1">
        <v>4.2</v>
      </c>
      <c r="AA133" s="17">
        <f>X133/U133</f>
        <v>4.379927418345639E-3</v>
      </c>
      <c r="AB133" s="17">
        <f>W133/T133</f>
        <v>3.7197024238060953E-3</v>
      </c>
      <c r="AC133" s="17">
        <f t="shared" si="37"/>
        <v>-0.1507387980390141</v>
      </c>
      <c r="AD133" s="18">
        <f>O133/X133</f>
        <v>741.94285714285718</v>
      </c>
      <c r="AE133" s="18">
        <f>N133/W133</f>
        <v>1030.2903225806451</v>
      </c>
      <c r="AF133" s="16">
        <f t="shared" si="38"/>
        <v>0.38863837378013621</v>
      </c>
      <c r="AG133">
        <f t="shared" si="39"/>
        <v>649.20000000000005</v>
      </c>
      <c r="AH133">
        <f t="shared" si="40"/>
        <v>779</v>
      </c>
      <c r="AI133" s="16">
        <f t="shared" si="41"/>
        <v>0.19993838570548358</v>
      </c>
      <c r="AJ133" s="18">
        <f t="shared" si="42"/>
        <v>17.759779217662587</v>
      </c>
      <c r="AK133" s="18">
        <f t="shared" si="43"/>
        <v>15.760830934801652</v>
      </c>
      <c r="AL133" s="15">
        <f t="shared" si="44"/>
        <v>0.78421052631578947</v>
      </c>
    </row>
    <row r="134" spans="1:38" x14ac:dyDescent="0.35">
      <c r="A134" s="1" t="s">
        <v>22</v>
      </c>
      <c r="B134" s="6" t="s">
        <v>39</v>
      </c>
      <c r="C134" s="1">
        <v>13</v>
      </c>
      <c r="D134" s="1" t="s">
        <v>50</v>
      </c>
      <c r="E134" s="2">
        <v>136</v>
      </c>
      <c r="F134" s="2">
        <v>136</v>
      </c>
      <c r="G134" s="2">
        <f t="shared" si="30"/>
        <v>0</v>
      </c>
      <c r="H134" s="3">
        <f>E134*K134</f>
        <v>19992</v>
      </c>
      <c r="I134" s="3">
        <f>F134*L134</f>
        <v>19856</v>
      </c>
      <c r="J134" s="19">
        <f t="shared" si="31"/>
        <v>6.8493150684931503E-3</v>
      </c>
      <c r="K134" s="4">
        <v>147</v>
      </c>
      <c r="L134" s="4">
        <v>146</v>
      </c>
      <c r="M134" s="19">
        <f t="shared" si="32"/>
        <v>6.8493150684931503E-3</v>
      </c>
      <c r="N134" s="3">
        <f>E134*Q134</f>
        <v>5440</v>
      </c>
      <c r="O134" s="3">
        <f>F134*R134</f>
        <v>5440</v>
      </c>
      <c r="P134" s="19">
        <f t="shared" si="33"/>
        <v>0</v>
      </c>
      <c r="Q134" s="1">
        <v>40</v>
      </c>
      <c r="R134" s="1">
        <v>40</v>
      </c>
      <c r="S134" s="19">
        <f t="shared" si="34"/>
        <v>0</v>
      </c>
      <c r="T134" s="1">
        <v>5300</v>
      </c>
      <c r="U134" s="1">
        <v>5459</v>
      </c>
      <c r="V134" s="19">
        <f t="shared" si="35"/>
        <v>-2.9126213592233011E-2</v>
      </c>
      <c r="W134" s="1">
        <v>46</v>
      </c>
      <c r="X134" s="4">
        <v>39</v>
      </c>
      <c r="Y134" s="19">
        <f t="shared" si="36"/>
        <v>0.17948717948717949</v>
      </c>
      <c r="Z134" s="5">
        <v>1.9</v>
      </c>
      <c r="AA134" s="17">
        <f>X134/U134</f>
        <v>7.1441655980948888E-3</v>
      </c>
      <c r="AB134" s="17">
        <f>W134/T134</f>
        <v>8.6792452830188674E-3</v>
      </c>
      <c r="AC134" s="17">
        <f t="shared" si="37"/>
        <v>0.21487179487179486</v>
      </c>
      <c r="AD134" s="18">
        <f>O134/X134</f>
        <v>139.48717948717947</v>
      </c>
      <c r="AE134" s="18">
        <f>N134/W134</f>
        <v>118.26086956521739</v>
      </c>
      <c r="AF134" s="16">
        <f t="shared" si="38"/>
        <v>-0.15217391304347819</v>
      </c>
      <c r="AG134">
        <f t="shared" si="39"/>
        <v>136</v>
      </c>
      <c r="AH134">
        <f t="shared" si="40"/>
        <v>136</v>
      </c>
      <c r="AI134" s="16">
        <f t="shared" si="41"/>
        <v>0</v>
      </c>
      <c r="AJ134" s="18">
        <f t="shared" si="42"/>
        <v>4.7984905660377359</v>
      </c>
      <c r="AK134" s="18">
        <f t="shared" si="43"/>
        <v>4.6338157171643157</v>
      </c>
      <c r="AL134" s="15">
        <f t="shared" si="44"/>
        <v>0.78609625668449201</v>
      </c>
    </row>
    <row r="135" spans="1:38" x14ac:dyDescent="0.35">
      <c r="A135" s="1" t="s">
        <v>22</v>
      </c>
      <c r="B135" s="6" t="s">
        <v>40</v>
      </c>
      <c r="C135" s="1">
        <v>14</v>
      </c>
      <c r="D135" s="1" t="s">
        <v>50</v>
      </c>
      <c r="E135" s="2">
        <v>249</v>
      </c>
      <c r="F135" s="2">
        <v>249</v>
      </c>
      <c r="G135" s="2">
        <f t="shared" si="30"/>
        <v>0</v>
      </c>
      <c r="H135" s="3">
        <f>E135*K135</f>
        <v>22161</v>
      </c>
      <c r="I135" s="3">
        <f>F135*L135</f>
        <v>22410</v>
      </c>
      <c r="J135" s="19">
        <f t="shared" si="31"/>
        <v>-1.1111111111111112E-2</v>
      </c>
      <c r="K135" s="4">
        <v>89</v>
      </c>
      <c r="L135" s="4">
        <v>90</v>
      </c>
      <c r="M135" s="19">
        <f t="shared" si="32"/>
        <v>-1.1111111111111112E-2</v>
      </c>
      <c r="N135" s="3">
        <f>E135*Q135</f>
        <v>26394</v>
      </c>
      <c r="O135" s="3">
        <f>F135*R135</f>
        <v>23904</v>
      </c>
      <c r="P135" s="19">
        <f t="shared" si="33"/>
        <v>0.10416666666666667</v>
      </c>
      <c r="Q135" s="1">
        <v>106</v>
      </c>
      <c r="R135" s="1">
        <v>96</v>
      </c>
      <c r="S135" s="19">
        <f t="shared" si="34"/>
        <v>0.10416666666666667</v>
      </c>
      <c r="T135" s="1">
        <v>4440</v>
      </c>
      <c r="U135" s="1">
        <v>3811</v>
      </c>
      <c r="V135" s="19">
        <f t="shared" si="35"/>
        <v>0.1650485436893204</v>
      </c>
      <c r="W135" s="1">
        <v>96</v>
      </c>
      <c r="X135" s="1">
        <v>91</v>
      </c>
      <c r="Y135" s="19">
        <f t="shared" si="36"/>
        <v>5.4945054945054944E-2</v>
      </c>
      <c r="Z135" s="1">
        <v>4.3</v>
      </c>
      <c r="AA135" s="17">
        <f>X135/U135</f>
        <v>2.3878247179218052E-2</v>
      </c>
      <c r="AB135" s="17">
        <f>W135/T135</f>
        <v>2.1621621621621623E-2</v>
      </c>
      <c r="AC135" s="17">
        <f t="shared" si="37"/>
        <v>-9.4505494505494406E-2</v>
      </c>
      <c r="AD135" s="18">
        <f>O135/X135</f>
        <v>262.68131868131866</v>
      </c>
      <c r="AE135" s="18">
        <f>N135/W135</f>
        <v>274.9375</v>
      </c>
      <c r="AF135" s="16">
        <f t="shared" si="38"/>
        <v>4.6657986111111209E-2</v>
      </c>
      <c r="AG135">
        <f t="shared" si="39"/>
        <v>249</v>
      </c>
      <c r="AH135">
        <f t="shared" si="40"/>
        <v>249</v>
      </c>
      <c r="AI135" s="16">
        <f t="shared" si="41"/>
        <v>0</v>
      </c>
      <c r="AJ135" s="18">
        <f t="shared" si="42"/>
        <v>10.935810810810811</v>
      </c>
      <c r="AK135" s="18">
        <f t="shared" si="43"/>
        <v>12.152715822618735</v>
      </c>
      <c r="AL135" s="15">
        <f t="shared" si="44"/>
        <v>0.4564102564102564</v>
      </c>
    </row>
    <row r="136" spans="1:38" x14ac:dyDescent="0.35">
      <c r="A136" s="1" t="s">
        <v>22</v>
      </c>
      <c r="B136" s="6" t="s">
        <v>41</v>
      </c>
      <c r="C136" s="1">
        <v>15</v>
      </c>
      <c r="D136" s="1" t="s">
        <v>50</v>
      </c>
      <c r="E136" s="2">
        <v>155</v>
      </c>
      <c r="F136" s="2">
        <v>155</v>
      </c>
      <c r="G136" s="2">
        <f t="shared" si="30"/>
        <v>0</v>
      </c>
      <c r="H136" s="3">
        <f>E136*K136</f>
        <v>19530</v>
      </c>
      <c r="I136" s="3">
        <f>F136*L136</f>
        <v>17670</v>
      </c>
      <c r="J136" s="19">
        <f t="shared" si="31"/>
        <v>0.10526315789473684</v>
      </c>
      <c r="K136" s="4">
        <v>126</v>
      </c>
      <c r="L136" s="4">
        <v>114</v>
      </c>
      <c r="M136" s="19">
        <f t="shared" si="32"/>
        <v>0.10526315789473684</v>
      </c>
      <c r="N136" s="3">
        <f>E136*Q136</f>
        <v>8835</v>
      </c>
      <c r="O136" s="3">
        <f>F136*R136</f>
        <v>8370</v>
      </c>
      <c r="P136" s="19">
        <f t="shared" si="33"/>
        <v>5.5555555555555552E-2</v>
      </c>
      <c r="Q136" s="1">
        <v>57</v>
      </c>
      <c r="R136" s="1">
        <v>54</v>
      </c>
      <c r="S136" s="19">
        <f t="shared" si="34"/>
        <v>5.5555555555555552E-2</v>
      </c>
      <c r="T136" s="1">
        <v>7920</v>
      </c>
      <c r="U136" s="1">
        <v>7890</v>
      </c>
      <c r="V136" s="19">
        <f t="shared" si="35"/>
        <v>3.8022813688212928E-3</v>
      </c>
      <c r="W136" s="1">
        <v>47</v>
      </c>
      <c r="X136" s="4">
        <v>49.58</v>
      </c>
      <c r="Y136" s="19">
        <f t="shared" si="36"/>
        <v>-5.2037111738604244E-2</v>
      </c>
      <c r="Z136" s="5">
        <v>3.7</v>
      </c>
      <c r="AA136" s="17">
        <f>X136/U136</f>
        <v>6.2839036755386567E-3</v>
      </c>
      <c r="AB136" s="17">
        <f>W136/T136</f>
        <v>5.9343434343434344E-3</v>
      </c>
      <c r="AC136" s="17">
        <f t="shared" si="37"/>
        <v>-5.5627880254745937E-2</v>
      </c>
      <c r="AD136" s="18">
        <f>O136/X136</f>
        <v>168.81807180314644</v>
      </c>
      <c r="AE136" s="18">
        <f>N136/W136</f>
        <v>187.97872340425531</v>
      </c>
      <c r="AF136" s="16">
        <f t="shared" si="38"/>
        <v>0.11349881796690293</v>
      </c>
      <c r="AG136">
        <f t="shared" si="39"/>
        <v>155</v>
      </c>
      <c r="AH136">
        <f t="shared" si="40"/>
        <v>155</v>
      </c>
      <c r="AI136" s="16">
        <f t="shared" si="41"/>
        <v>0</v>
      </c>
      <c r="AJ136" s="18">
        <f t="shared" si="42"/>
        <v>3.581439393939394</v>
      </c>
      <c r="AK136" s="18">
        <f t="shared" si="43"/>
        <v>3.3003802281368819</v>
      </c>
      <c r="AL136" s="15">
        <f t="shared" si="44"/>
        <v>0.68852459016393441</v>
      </c>
    </row>
    <row r="137" spans="1:38" x14ac:dyDescent="0.35">
      <c r="A137" s="1" t="s">
        <v>22</v>
      </c>
      <c r="B137" s="6" t="s">
        <v>42</v>
      </c>
      <c r="C137" s="1">
        <v>16</v>
      </c>
      <c r="D137" s="1" t="s">
        <v>50</v>
      </c>
      <c r="E137" s="2">
        <v>627</v>
      </c>
      <c r="F137" s="2">
        <v>627</v>
      </c>
      <c r="G137" s="2">
        <f t="shared" si="30"/>
        <v>0</v>
      </c>
      <c r="H137" s="3">
        <f>E137*K137</f>
        <v>43890</v>
      </c>
      <c r="I137" s="3">
        <f>F137*L137</f>
        <v>43263</v>
      </c>
      <c r="J137" s="19">
        <f t="shared" si="31"/>
        <v>1.4492753623188406E-2</v>
      </c>
      <c r="K137" s="4">
        <v>70</v>
      </c>
      <c r="L137" s="4">
        <v>69</v>
      </c>
      <c r="M137" s="19">
        <f t="shared" si="32"/>
        <v>1.4492753623188406E-2</v>
      </c>
      <c r="N137" s="3">
        <f>E137*Q137</f>
        <v>43890</v>
      </c>
      <c r="O137" s="3">
        <f>F137*R137</f>
        <v>40755</v>
      </c>
      <c r="P137" s="19">
        <f t="shared" si="33"/>
        <v>7.6923076923076927E-2</v>
      </c>
      <c r="Q137" s="1">
        <v>70</v>
      </c>
      <c r="R137" s="1">
        <v>65</v>
      </c>
      <c r="S137" s="19">
        <f t="shared" si="34"/>
        <v>7.6923076923076927E-2</v>
      </c>
      <c r="T137" s="1">
        <v>11069</v>
      </c>
      <c r="U137" s="1">
        <v>11590</v>
      </c>
      <c r="V137" s="19">
        <f t="shared" si="35"/>
        <v>-4.4952545297670406E-2</v>
      </c>
      <c r="W137" s="1">
        <v>60</v>
      </c>
      <c r="X137" s="1">
        <v>60</v>
      </c>
      <c r="Y137" s="19">
        <f t="shared" si="36"/>
        <v>0</v>
      </c>
      <c r="Z137" s="1">
        <v>4.5999999999999996</v>
      </c>
      <c r="AA137" s="17">
        <f>X137/U137</f>
        <v>5.1768766177739426E-3</v>
      </c>
      <c r="AB137" s="17">
        <f>W137/T137</f>
        <v>5.420543861234077E-3</v>
      </c>
      <c r="AC137" s="17">
        <f t="shared" si="37"/>
        <v>4.7068389195049291E-2</v>
      </c>
      <c r="AD137" s="18">
        <f>O137/X137</f>
        <v>679.25</v>
      </c>
      <c r="AE137" s="18">
        <f>N137/W137</f>
        <v>731.5</v>
      </c>
      <c r="AF137" s="16">
        <f t="shared" si="38"/>
        <v>7.6923076923076927E-2</v>
      </c>
      <c r="AG137">
        <f t="shared" si="39"/>
        <v>627</v>
      </c>
      <c r="AH137">
        <f t="shared" si="40"/>
        <v>627</v>
      </c>
      <c r="AI137" s="16">
        <f t="shared" si="41"/>
        <v>0</v>
      </c>
      <c r="AJ137" s="18">
        <f t="shared" si="42"/>
        <v>7.9302556689854553</v>
      </c>
      <c r="AK137" s="18">
        <f t="shared" si="43"/>
        <v>7.249180327868852</v>
      </c>
      <c r="AL137" s="15">
        <f t="shared" si="44"/>
        <v>0.5</v>
      </c>
    </row>
    <row r="138" spans="1:38" x14ac:dyDescent="0.35">
      <c r="A138" s="1" t="s">
        <v>22</v>
      </c>
      <c r="B138" s="6" t="s">
        <v>43</v>
      </c>
      <c r="C138" s="1">
        <v>17</v>
      </c>
      <c r="D138" s="1" t="s">
        <v>50</v>
      </c>
      <c r="E138" s="2">
        <v>179</v>
      </c>
      <c r="F138" s="2">
        <v>169</v>
      </c>
      <c r="G138" s="2">
        <f t="shared" si="30"/>
        <v>10</v>
      </c>
      <c r="H138" s="3">
        <f>E138*K138</f>
        <v>31325</v>
      </c>
      <c r="I138" s="3">
        <f>F138*L138</f>
        <v>30251</v>
      </c>
      <c r="J138" s="19">
        <f t="shared" si="31"/>
        <v>3.5502958579881658E-2</v>
      </c>
      <c r="K138" s="4">
        <v>175</v>
      </c>
      <c r="L138" s="4">
        <v>179</v>
      </c>
      <c r="M138" s="19">
        <f t="shared" si="32"/>
        <v>-2.23463687150838E-2</v>
      </c>
      <c r="N138" s="3">
        <f>E138*Q138</f>
        <v>11098</v>
      </c>
      <c r="O138" s="3">
        <f>F138*R138</f>
        <v>10140</v>
      </c>
      <c r="P138" s="19">
        <f t="shared" si="33"/>
        <v>9.4477317554240631E-2</v>
      </c>
      <c r="Q138" s="1">
        <v>62</v>
      </c>
      <c r="R138" s="1">
        <v>60</v>
      </c>
      <c r="S138" s="19">
        <f t="shared" si="34"/>
        <v>3.3333333333333333E-2</v>
      </c>
      <c r="T138" s="1">
        <v>14569</v>
      </c>
      <c r="U138" s="1">
        <v>12987</v>
      </c>
      <c r="V138" s="19">
        <f t="shared" si="35"/>
        <v>0.12181412181412181</v>
      </c>
      <c r="W138" s="1">
        <v>52</v>
      </c>
      <c r="X138" s="4">
        <v>56</v>
      </c>
      <c r="Y138" s="19">
        <f t="shared" si="36"/>
        <v>-7.1428571428571425E-2</v>
      </c>
      <c r="Z138" s="1">
        <v>3.8</v>
      </c>
      <c r="AA138" s="17">
        <f>X138/U138</f>
        <v>4.3120043120043116E-3</v>
      </c>
      <c r="AB138" s="17">
        <f>W138/T138</f>
        <v>3.5692223213672869E-3</v>
      </c>
      <c r="AC138" s="17">
        <f t="shared" si="37"/>
        <v>-0.17225910200719716</v>
      </c>
      <c r="AD138" s="18">
        <f>O138/X138</f>
        <v>181.07142857142858</v>
      </c>
      <c r="AE138" s="18">
        <f>N138/W138</f>
        <v>213.42307692307693</v>
      </c>
      <c r="AF138" s="16">
        <f t="shared" si="38"/>
        <v>0.17866788044302837</v>
      </c>
      <c r="AG138">
        <f t="shared" si="39"/>
        <v>169</v>
      </c>
      <c r="AH138">
        <f t="shared" si="40"/>
        <v>179</v>
      </c>
      <c r="AI138" s="16">
        <f t="shared" si="41"/>
        <v>5.9171597633136092E-2</v>
      </c>
      <c r="AJ138" s="18">
        <f t="shared" si="42"/>
        <v>2.9118676642185464</v>
      </c>
      <c r="AK138" s="18">
        <f t="shared" si="43"/>
        <v>3.1101101101101101</v>
      </c>
      <c r="AL138" s="15">
        <f t="shared" si="44"/>
        <v>0.73839662447257381</v>
      </c>
    </row>
    <row r="139" spans="1:38" x14ac:dyDescent="0.35">
      <c r="A139" s="1" t="s">
        <v>22</v>
      </c>
      <c r="B139" s="6" t="s">
        <v>44</v>
      </c>
      <c r="C139" s="1">
        <v>18</v>
      </c>
      <c r="D139" s="1" t="s">
        <v>50</v>
      </c>
      <c r="E139" s="2">
        <v>475</v>
      </c>
      <c r="F139" s="2">
        <v>475</v>
      </c>
      <c r="G139" s="2">
        <f t="shared" si="30"/>
        <v>0</v>
      </c>
      <c r="H139" s="3">
        <f>E139*K139</f>
        <v>43700</v>
      </c>
      <c r="I139" s="3">
        <f>F139*L139</f>
        <v>44175</v>
      </c>
      <c r="J139" s="19">
        <f t="shared" si="31"/>
        <v>-1.0752688172043012E-2</v>
      </c>
      <c r="K139" s="4">
        <v>92</v>
      </c>
      <c r="L139" s="4">
        <v>93</v>
      </c>
      <c r="M139" s="19">
        <f t="shared" si="32"/>
        <v>-1.0752688172043012E-2</v>
      </c>
      <c r="N139" s="3">
        <f>E139*Q139</f>
        <v>42750</v>
      </c>
      <c r="O139" s="3">
        <f>F139*R139</f>
        <v>37050</v>
      </c>
      <c r="P139" s="19">
        <f t="shared" si="33"/>
        <v>0.15384615384615385</v>
      </c>
      <c r="Q139" s="1">
        <v>90</v>
      </c>
      <c r="R139" s="1">
        <v>78</v>
      </c>
      <c r="S139" s="19">
        <f t="shared" si="34"/>
        <v>0.15384615384615385</v>
      </c>
      <c r="T139" s="1">
        <v>6484</v>
      </c>
      <c r="U139" s="1">
        <v>6568</v>
      </c>
      <c r="V139" s="19">
        <f t="shared" si="35"/>
        <v>-1.2789281364190013E-2</v>
      </c>
      <c r="W139" s="1">
        <v>80</v>
      </c>
      <c r="X139" s="4">
        <v>68.599999999999994</v>
      </c>
      <c r="Y139" s="19">
        <f t="shared" si="36"/>
        <v>0.1661807580174928</v>
      </c>
      <c r="Z139" s="1">
        <v>4</v>
      </c>
      <c r="AA139" s="17">
        <f>X139/U139</f>
        <v>1.0444579780755176E-2</v>
      </c>
      <c r="AB139" s="17">
        <f>W139/T139</f>
        <v>1.2338062924120914E-2</v>
      </c>
      <c r="AC139" s="17">
        <f t="shared" si="37"/>
        <v>0.1812885901694776</v>
      </c>
      <c r="AD139" s="18">
        <f>O139/X139</f>
        <v>540.08746355685139</v>
      </c>
      <c r="AE139" s="18">
        <f>N139/W139</f>
        <v>534.375</v>
      </c>
      <c r="AF139" s="16">
        <f t="shared" si="38"/>
        <v>-1.057692307692322E-2</v>
      </c>
      <c r="AG139">
        <f t="shared" si="39"/>
        <v>475</v>
      </c>
      <c r="AH139">
        <f t="shared" si="40"/>
        <v>475</v>
      </c>
      <c r="AI139" s="16">
        <f t="shared" si="41"/>
        <v>0</v>
      </c>
      <c r="AJ139" s="18">
        <f t="shared" si="42"/>
        <v>13.332819247378161</v>
      </c>
      <c r="AK139" s="18">
        <f t="shared" si="43"/>
        <v>12.366778319123021</v>
      </c>
      <c r="AL139" s="15">
        <f t="shared" si="44"/>
        <v>0.50549450549450547</v>
      </c>
    </row>
    <row r="140" spans="1:38" x14ac:dyDescent="0.35">
      <c r="A140" s="1" t="s">
        <v>22</v>
      </c>
      <c r="B140" s="6" t="s">
        <v>45</v>
      </c>
      <c r="C140" s="1">
        <v>19</v>
      </c>
      <c r="D140" s="1" t="s">
        <v>50</v>
      </c>
      <c r="E140" s="2">
        <v>180</v>
      </c>
      <c r="F140" s="2">
        <v>160</v>
      </c>
      <c r="G140" s="2">
        <f t="shared" si="30"/>
        <v>20</v>
      </c>
      <c r="H140" s="3">
        <f>E140*K140</f>
        <v>10440</v>
      </c>
      <c r="I140" s="3">
        <f>F140*L140</f>
        <v>9120</v>
      </c>
      <c r="J140" s="19">
        <f t="shared" si="31"/>
        <v>0.14473684210526316</v>
      </c>
      <c r="K140" s="4">
        <v>58</v>
      </c>
      <c r="L140" s="4">
        <v>57</v>
      </c>
      <c r="M140" s="19">
        <f t="shared" si="32"/>
        <v>1.7543859649122806E-2</v>
      </c>
      <c r="N140" s="3">
        <f>E140*Q140</f>
        <v>23220</v>
      </c>
      <c r="O140" s="3">
        <f>F140*R140</f>
        <v>18240</v>
      </c>
      <c r="P140" s="19">
        <f t="shared" si="33"/>
        <v>0.27302631578947367</v>
      </c>
      <c r="Q140" s="1">
        <v>129</v>
      </c>
      <c r="R140" s="1">
        <v>114</v>
      </c>
      <c r="S140" s="19">
        <f t="shared" si="34"/>
        <v>0.13157894736842105</v>
      </c>
      <c r="T140" s="1">
        <v>10576</v>
      </c>
      <c r="U140" s="1">
        <v>9204</v>
      </c>
      <c r="V140" s="19">
        <f t="shared" si="35"/>
        <v>0.14906562364189482</v>
      </c>
      <c r="W140" s="1">
        <v>119</v>
      </c>
      <c r="X140" s="1">
        <v>109</v>
      </c>
      <c r="Y140" s="19">
        <f t="shared" si="36"/>
        <v>9.1743119266055051E-2</v>
      </c>
      <c r="Z140" s="1">
        <v>3.9</v>
      </c>
      <c r="AA140" s="17">
        <f>X140/U140</f>
        <v>1.1842677096914386E-2</v>
      </c>
      <c r="AB140" s="17">
        <f>W140/T140</f>
        <v>1.1251891074130107E-2</v>
      </c>
      <c r="AC140" s="17">
        <f t="shared" si="37"/>
        <v>-4.9886188566114716E-2</v>
      </c>
      <c r="AD140" s="18">
        <f>O140/X140</f>
        <v>167.33944954128441</v>
      </c>
      <c r="AE140" s="18">
        <f>N140/W140</f>
        <v>195.12605042016807</v>
      </c>
      <c r="AF140" s="16">
        <f t="shared" si="38"/>
        <v>0.16604931446262713</v>
      </c>
      <c r="AG140">
        <f t="shared" si="39"/>
        <v>160</v>
      </c>
      <c r="AH140">
        <f t="shared" si="40"/>
        <v>180</v>
      </c>
      <c r="AI140" s="16">
        <f t="shared" si="41"/>
        <v>0.125</v>
      </c>
      <c r="AJ140" s="18">
        <f t="shared" si="42"/>
        <v>3.1826777609682297</v>
      </c>
      <c r="AK140" s="18">
        <f t="shared" si="43"/>
        <v>2.9726205997392436</v>
      </c>
      <c r="AL140" s="15">
        <f t="shared" si="44"/>
        <v>0.31016042780748665</v>
      </c>
    </row>
    <row r="141" spans="1:38" x14ac:dyDescent="0.35">
      <c r="A141" s="1" t="s">
        <v>22</v>
      </c>
      <c r="B141" s="6" t="s">
        <v>46</v>
      </c>
      <c r="C141" s="1">
        <v>20</v>
      </c>
      <c r="D141" s="1" t="s">
        <v>50</v>
      </c>
      <c r="E141" s="2">
        <v>475</v>
      </c>
      <c r="F141" s="2">
        <v>475</v>
      </c>
      <c r="G141" s="2">
        <f t="shared" si="30"/>
        <v>0</v>
      </c>
      <c r="H141" s="3">
        <f>E141*K141</f>
        <v>90250</v>
      </c>
      <c r="I141" s="3">
        <f>F141*L141</f>
        <v>86925</v>
      </c>
      <c r="J141" s="19">
        <f t="shared" si="31"/>
        <v>3.825136612021858E-2</v>
      </c>
      <c r="K141" s="4">
        <v>190</v>
      </c>
      <c r="L141" s="4">
        <v>183</v>
      </c>
      <c r="M141" s="19">
        <f t="shared" si="32"/>
        <v>3.825136612021858E-2</v>
      </c>
      <c r="N141" s="3">
        <f>E141*Q141</f>
        <v>28500</v>
      </c>
      <c r="O141" s="3">
        <f>F141*R141</f>
        <v>28025</v>
      </c>
      <c r="P141" s="19">
        <f t="shared" si="33"/>
        <v>1.6949152542372881E-2</v>
      </c>
      <c r="Q141" s="1">
        <v>60</v>
      </c>
      <c r="R141" s="1">
        <v>59</v>
      </c>
      <c r="S141" s="19">
        <f t="shared" si="34"/>
        <v>1.6949152542372881E-2</v>
      </c>
      <c r="T141" s="1">
        <v>7718</v>
      </c>
      <c r="U141" s="1">
        <v>6755</v>
      </c>
      <c r="V141" s="19">
        <f t="shared" si="35"/>
        <v>0.14256106587712805</v>
      </c>
      <c r="W141" s="1">
        <v>50</v>
      </c>
      <c r="X141" s="4">
        <v>29.5</v>
      </c>
      <c r="Y141" s="19">
        <f t="shared" si="36"/>
        <v>0.69491525423728817</v>
      </c>
      <c r="Z141" s="5">
        <v>3.3</v>
      </c>
      <c r="AA141" s="17">
        <f>X141/U141</f>
        <v>4.3671354552183564E-3</v>
      </c>
      <c r="AB141" s="17">
        <f>W141/T141</f>
        <v>6.4783622700181395E-3</v>
      </c>
      <c r="AC141" s="17">
        <f t="shared" si="37"/>
        <v>0.48343515708381479</v>
      </c>
      <c r="AD141" s="18">
        <f>O141/X141</f>
        <v>950</v>
      </c>
      <c r="AE141" s="18">
        <f>N141/W141</f>
        <v>570</v>
      </c>
      <c r="AF141" s="16">
        <f t="shared" si="38"/>
        <v>-0.4</v>
      </c>
      <c r="AG141">
        <f t="shared" si="39"/>
        <v>475</v>
      </c>
      <c r="AH141">
        <f t="shared" si="40"/>
        <v>475</v>
      </c>
      <c r="AI141" s="16">
        <f t="shared" si="41"/>
        <v>0</v>
      </c>
      <c r="AJ141" s="18">
        <f t="shared" si="42"/>
        <v>15.386110391293082</v>
      </c>
      <c r="AK141" s="18">
        <f t="shared" si="43"/>
        <v>17.017024426350851</v>
      </c>
      <c r="AL141" s="15">
        <f t="shared" si="44"/>
        <v>0.76</v>
      </c>
    </row>
    <row r="142" spans="1:38" x14ac:dyDescent="0.35">
      <c r="A142" s="1" t="s">
        <v>23</v>
      </c>
      <c r="B142" s="1" t="s">
        <v>16</v>
      </c>
      <c r="C142" s="1">
        <v>1</v>
      </c>
      <c r="D142" s="1" t="s">
        <v>48</v>
      </c>
      <c r="E142" s="2">
        <v>279</v>
      </c>
      <c r="F142" s="2">
        <v>249</v>
      </c>
      <c r="G142" s="2">
        <f t="shared" si="30"/>
        <v>30</v>
      </c>
      <c r="H142" s="3">
        <f>E142*K142</f>
        <v>34875</v>
      </c>
      <c r="I142" s="3">
        <f>F142*L142</f>
        <v>30876</v>
      </c>
      <c r="J142" s="19">
        <f t="shared" si="31"/>
        <v>0.12951807228915663</v>
      </c>
      <c r="K142" s="4">
        <v>125</v>
      </c>
      <c r="L142" s="4">
        <v>124</v>
      </c>
      <c r="M142" s="19">
        <f t="shared" si="32"/>
        <v>8.0645161290322578E-3</v>
      </c>
      <c r="N142" s="3">
        <f>E142*Q142</f>
        <v>24552</v>
      </c>
      <c r="O142" s="3">
        <f>F142*R142</f>
        <v>20916</v>
      </c>
      <c r="P142" s="19">
        <f t="shared" si="33"/>
        <v>0.17383820998278829</v>
      </c>
      <c r="Q142" s="1">
        <v>88</v>
      </c>
      <c r="R142" s="1">
        <v>84</v>
      </c>
      <c r="S142" s="19">
        <f t="shared" si="34"/>
        <v>4.7619047619047616E-2</v>
      </c>
      <c r="T142" s="1">
        <v>3609</v>
      </c>
      <c r="U142" s="1">
        <v>3161</v>
      </c>
      <c r="V142" s="19">
        <f t="shared" si="35"/>
        <v>0.14172730148687124</v>
      </c>
      <c r="W142" s="1">
        <v>78</v>
      </c>
      <c r="X142" s="1">
        <v>79</v>
      </c>
      <c r="Y142" s="19">
        <f t="shared" si="36"/>
        <v>-1.2658227848101266E-2</v>
      </c>
      <c r="Z142" s="1">
        <v>4.0999999999999996</v>
      </c>
      <c r="AA142" s="17">
        <f>X142/U142</f>
        <v>2.49920911104081E-2</v>
      </c>
      <c r="AB142" s="17">
        <f>W142/T142</f>
        <v>2.1612635078969242E-2</v>
      </c>
      <c r="AC142" s="17">
        <f t="shared" si="37"/>
        <v>-0.13522101918200291</v>
      </c>
      <c r="AD142" s="18">
        <f>O142/X142</f>
        <v>264.75949367088606</v>
      </c>
      <c r="AE142" s="18">
        <f>N142/W142</f>
        <v>314.76923076923077</v>
      </c>
      <c r="AF142" s="16">
        <f t="shared" si="38"/>
        <v>0.18888741780308055</v>
      </c>
      <c r="AG142">
        <f t="shared" si="39"/>
        <v>249</v>
      </c>
      <c r="AH142">
        <f t="shared" si="40"/>
        <v>279</v>
      </c>
      <c r="AI142" s="16">
        <f t="shared" si="41"/>
        <v>0.12048192771084337</v>
      </c>
      <c r="AJ142" s="18">
        <f t="shared" si="42"/>
        <v>16.466334164588527</v>
      </c>
      <c r="AK142" s="18">
        <f t="shared" si="43"/>
        <v>16.384688389750078</v>
      </c>
      <c r="AL142" s="15">
        <f t="shared" si="44"/>
        <v>0.58685446009389675</v>
      </c>
    </row>
    <row r="143" spans="1:38" x14ac:dyDescent="0.35">
      <c r="A143" s="1" t="s">
        <v>23</v>
      </c>
      <c r="B143" s="6" t="s">
        <v>28</v>
      </c>
      <c r="C143" s="1">
        <v>2</v>
      </c>
      <c r="D143" s="1" t="s">
        <v>48</v>
      </c>
      <c r="E143" s="2">
        <v>354</v>
      </c>
      <c r="F143" s="2">
        <v>354</v>
      </c>
      <c r="G143" s="2">
        <f t="shared" si="30"/>
        <v>0</v>
      </c>
      <c r="H143" s="3">
        <f>E143*K143</f>
        <v>35046</v>
      </c>
      <c r="I143" s="3">
        <f>F143*L143</f>
        <v>32922</v>
      </c>
      <c r="J143" s="19">
        <f t="shared" si="31"/>
        <v>6.4516129032258063E-2</v>
      </c>
      <c r="K143" s="4">
        <v>99</v>
      </c>
      <c r="L143" s="4">
        <v>93</v>
      </c>
      <c r="M143" s="19">
        <f t="shared" si="32"/>
        <v>6.4516129032258063E-2</v>
      </c>
      <c r="N143" s="3">
        <f>E143*Q143</f>
        <v>18408</v>
      </c>
      <c r="O143" s="3">
        <f>F143*R143</f>
        <v>17700</v>
      </c>
      <c r="P143" s="19">
        <f t="shared" si="33"/>
        <v>0.04</v>
      </c>
      <c r="Q143" s="1">
        <v>52</v>
      </c>
      <c r="R143" s="1">
        <v>50</v>
      </c>
      <c r="S143" s="19">
        <f t="shared" si="34"/>
        <v>0.04</v>
      </c>
      <c r="T143" s="1">
        <v>9052</v>
      </c>
      <c r="U143" s="1">
        <v>9179</v>
      </c>
      <c r="V143" s="19">
        <f t="shared" si="35"/>
        <v>-1.3835929839851836E-2</v>
      </c>
      <c r="W143" s="1">
        <v>42</v>
      </c>
      <c r="X143" s="1">
        <v>45</v>
      </c>
      <c r="Y143" s="19">
        <f t="shared" si="36"/>
        <v>-6.6666666666666666E-2</v>
      </c>
      <c r="Z143" s="5">
        <v>2.2999999999999998</v>
      </c>
      <c r="AA143" s="17">
        <f>X143/U143</f>
        <v>4.9024948251443516E-3</v>
      </c>
      <c r="AB143" s="17">
        <f>W143/T143</f>
        <v>4.6398585947856827E-3</v>
      </c>
      <c r="AC143" s="17">
        <f t="shared" si="37"/>
        <v>-5.3571954632493812E-2</v>
      </c>
      <c r="AD143" s="18">
        <f>O143/X143</f>
        <v>393.33333333333331</v>
      </c>
      <c r="AE143" s="18">
        <f>N143/W143</f>
        <v>438.28571428571428</v>
      </c>
      <c r="AF143" s="16">
        <f t="shared" si="38"/>
        <v>0.11428571428571432</v>
      </c>
      <c r="AG143">
        <f t="shared" si="39"/>
        <v>354</v>
      </c>
      <c r="AH143">
        <f t="shared" si="40"/>
        <v>354</v>
      </c>
      <c r="AI143" s="16">
        <f t="shared" si="41"/>
        <v>0</v>
      </c>
      <c r="AJ143" s="18">
        <f t="shared" si="42"/>
        <v>5.9052143172779497</v>
      </c>
      <c r="AK143" s="18">
        <f t="shared" si="43"/>
        <v>5.5149798452990524</v>
      </c>
      <c r="AL143" s="15">
        <f t="shared" si="44"/>
        <v>0.6556291390728477</v>
      </c>
    </row>
    <row r="144" spans="1:38" x14ac:dyDescent="0.35">
      <c r="A144" s="1" t="s">
        <v>23</v>
      </c>
      <c r="B144" s="6" t="s">
        <v>29</v>
      </c>
      <c r="C144" s="1">
        <v>3</v>
      </c>
      <c r="D144" s="1" t="s">
        <v>48</v>
      </c>
      <c r="E144" s="2">
        <v>198</v>
      </c>
      <c r="F144" s="2">
        <v>198</v>
      </c>
      <c r="G144" s="2">
        <f t="shared" si="30"/>
        <v>0</v>
      </c>
      <c r="H144" s="3">
        <f>E144*K144</f>
        <v>25938</v>
      </c>
      <c r="I144" s="3">
        <f>F144*L144</f>
        <v>24750</v>
      </c>
      <c r="J144" s="19">
        <f t="shared" si="31"/>
        <v>4.8000000000000001E-2</v>
      </c>
      <c r="K144" s="4">
        <v>131</v>
      </c>
      <c r="L144" s="4">
        <v>125</v>
      </c>
      <c r="M144" s="19">
        <f t="shared" si="32"/>
        <v>4.8000000000000001E-2</v>
      </c>
      <c r="N144" s="3">
        <f>E144*Q144</f>
        <v>19998</v>
      </c>
      <c r="O144" s="3">
        <f>F144*R144</f>
        <v>17820</v>
      </c>
      <c r="P144" s="19">
        <f t="shared" si="33"/>
        <v>0.12222222222222222</v>
      </c>
      <c r="Q144" s="1">
        <v>101</v>
      </c>
      <c r="R144" s="1">
        <v>90</v>
      </c>
      <c r="S144" s="19">
        <f t="shared" si="34"/>
        <v>0.12222222222222222</v>
      </c>
      <c r="T144" s="1">
        <v>4132</v>
      </c>
      <c r="U144" s="1">
        <v>4542</v>
      </c>
      <c r="V144" s="19">
        <f t="shared" si="35"/>
        <v>-9.0268604139145753E-2</v>
      </c>
      <c r="W144" s="1">
        <v>91</v>
      </c>
      <c r="X144" s="1">
        <v>85</v>
      </c>
      <c r="Y144" s="19">
        <f t="shared" si="36"/>
        <v>7.0588235294117646E-2</v>
      </c>
      <c r="Z144" s="5">
        <v>2.5999999999999996</v>
      </c>
      <c r="AA144" s="17">
        <f>X144/U144</f>
        <v>1.8714222809335095E-2</v>
      </c>
      <c r="AB144" s="17">
        <f>W144/T144</f>
        <v>2.202323330106486E-2</v>
      </c>
      <c r="AC144" s="17">
        <f t="shared" si="37"/>
        <v>0.17681794886395996</v>
      </c>
      <c r="AD144" s="18">
        <f>O144/X144</f>
        <v>209.64705882352942</v>
      </c>
      <c r="AE144" s="18">
        <f>N144/W144</f>
        <v>219.75824175824175</v>
      </c>
      <c r="AF144" s="16">
        <f t="shared" si="38"/>
        <v>4.8229548229548155E-2</v>
      </c>
      <c r="AG144">
        <f t="shared" si="39"/>
        <v>198</v>
      </c>
      <c r="AH144">
        <f t="shared" si="40"/>
        <v>198</v>
      </c>
      <c r="AI144" s="16">
        <f t="shared" si="41"/>
        <v>0</v>
      </c>
      <c r="AJ144" s="18">
        <f t="shared" si="42"/>
        <v>11.117134559535334</v>
      </c>
      <c r="AK144" s="18">
        <f t="shared" si="43"/>
        <v>9.3725231175693526</v>
      </c>
      <c r="AL144" s="15">
        <f t="shared" si="44"/>
        <v>0.56465517241379315</v>
      </c>
    </row>
    <row r="145" spans="1:38" x14ac:dyDescent="0.35">
      <c r="A145" s="1" t="s">
        <v>23</v>
      </c>
      <c r="B145" s="6" t="s">
        <v>30</v>
      </c>
      <c r="C145" s="1">
        <v>4</v>
      </c>
      <c r="D145" s="1" t="s">
        <v>48</v>
      </c>
      <c r="E145" s="2">
        <v>150</v>
      </c>
      <c r="F145" s="2">
        <v>149</v>
      </c>
      <c r="G145" s="2">
        <f t="shared" si="30"/>
        <v>1</v>
      </c>
      <c r="H145" s="3">
        <f>E145*K145</f>
        <v>10500</v>
      </c>
      <c r="I145" s="3">
        <f>F145*L145</f>
        <v>10430</v>
      </c>
      <c r="J145" s="19">
        <f t="shared" si="31"/>
        <v>6.7114093959731542E-3</v>
      </c>
      <c r="K145" s="4">
        <v>70</v>
      </c>
      <c r="L145" s="4">
        <v>70</v>
      </c>
      <c r="M145" s="19">
        <f t="shared" si="32"/>
        <v>0</v>
      </c>
      <c r="N145" s="3">
        <f>E145*Q145</f>
        <v>9750</v>
      </c>
      <c r="O145" s="3">
        <f>F145*R145</f>
        <v>9387</v>
      </c>
      <c r="P145" s="19">
        <f t="shared" si="33"/>
        <v>3.8670501757750081E-2</v>
      </c>
      <c r="Q145" s="1">
        <v>65</v>
      </c>
      <c r="R145" s="1">
        <v>63</v>
      </c>
      <c r="S145" s="19">
        <f t="shared" si="34"/>
        <v>3.1746031746031744E-2</v>
      </c>
      <c r="T145" s="1">
        <v>5896</v>
      </c>
      <c r="U145" s="1">
        <v>5799</v>
      </c>
      <c r="V145" s="19">
        <f t="shared" si="35"/>
        <v>1.6727021900327644E-2</v>
      </c>
      <c r="W145" s="1">
        <v>55</v>
      </c>
      <c r="X145" s="1">
        <v>58</v>
      </c>
      <c r="Y145" s="19">
        <f t="shared" si="36"/>
        <v>-5.1724137931034482E-2</v>
      </c>
      <c r="Z145" s="5">
        <v>4</v>
      </c>
      <c r="AA145" s="17">
        <f>X145/U145</f>
        <v>1.0001724435247456E-2</v>
      </c>
      <c r="AB145" s="17">
        <f>W145/T145</f>
        <v>9.3283582089552231E-3</v>
      </c>
      <c r="AC145" s="17">
        <f t="shared" si="37"/>
        <v>-6.7325012866701034E-2</v>
      </c>
      <c r="AD145" s="18">
        <f>O145/X145</f>
        <v>161.84482758620689</v>
      </c>
      <c r="AE145" s="18">
        <f>N145/W145</f>
        <v>177.27272727272728</v>
      </c>
      <c r="AF145" s="16">
        <f t="shared" si="38"/>
        <v>9.5325256399082001E-2</v>
      </c>
      <c r="AG145">
        <f t="shared" si="39"/>
        <v>149</v>
      </c>
      <c r="AH145">
        <f t="shared" si="40"/>
        <v>150</v>
      </c>
      <c r="AI145" s="16">
        <f t="shared" si="41"/>
        <v>6.7114093959731542E-3</v>
      </c>
      <c r="AJ145" s="18">
        <f t="shared" si="42"/>
        <v>3.4345318860244234</v>
      </c>
      <c r="AK145" s="18">
        <f t="shared" si="43"/>
        <v>3.4173133298844629</v>
      </c>
      <c r="AL145" s="15">
        <f t="shared" si="44"/>
        <v>0.51851851851851849</v>
      </c>
    </row>
    <row r="146" spans="1:38" x14ac:dyDescent="0.35">
      <c r="A146" s="1" t="s">
        <v>23</v>
      </c>
      <c r="B146" s="6" t="s">
        <v>31</v>
      </c>
      <c r="C146" s="1">
        <v>5</v>
      </c>
      <c r="D146" s="1" t="s">
        <v>48</v>
      </c>
      <c r="E146" s="2">
        <v>506</v>
      </c>
      <c r="F146" s="2">
        <v>499.9</v>
      </c>
      <c r="G146" s="2">
        <f t="shared" si="30"/>
        <v>6.1000000000000227</v>
      </c>
      <c r="H146" s="3">
        <f>E146*K146</f>
        <v>69322</v>
      </c>
      <c r="I146" s="3">
        <f>F146*L146</f>
        <v>66986.599999999991</v>
      </c>
      <c r="J146" s="19">
        <f t="shared" si="31"/>
        <v>3.4863689155741728E-2</v>
      </c>
      <c r="K146" s="4">
        <v>137</v>
      </c>
      <c r="L146" s="4">
        <v>134</v>
      </c>
      <c r="M146" s="19">
        <f t="shared" si="32"/>
        <v>2.2388059701492536E-2</v>
      </c>
      <c r="N146" s="3">
        <f>E146*Q146</f>
        <v>48576</v>
      </c>
      <c r="O146" s="3">
        <f>F146*R146</f>
        <v>42491.5</v>
      </c>
      <c r="P146" s="19">
        <f t="shared" si="33"/>
        <v>0.1431933445512632</v>
      </c>
      <c r="Q146" s="1">
        <v>96</v>
      </c>
      <c r="R146" s="1">
        <v>85</v>
      </c>
      <c r="S146" s="19">
        <f t="shared" si="34"/>
        <v>0.12941176470588237</v>
      </c>
      <c r="T146" s="1">
        <v>10849</v>
      </c>
      <c r="U146" s="1">
        <v>11287</v>
      </c>
      <c r="V146" s="19">
        <f t="shared" si="35"/>
        <v>-3.8805705679099849E-2</v>
      </c>
      <c r="W146" s="1">
        <v>86</v>
      </c>
      <c r="X146" s="1">
        <v>80</v>
      </c>
      <c r="Y146" s="19">
        <f t="shared" si="36"/>
        <v>7.4999999999999997E-2</v>
      </c>
      <c r="Z146" s="5">
        <v>2.5</v>
      </c>
      <c r="AA146" s="17">
        <f>X146/U146</f>
        <v>7.0878001240365024E-3</v>
      </c>
      <c r="AB146" s="17">
        <f>W146/T146</f>
        <v>7.9269978799889392E-3</v>
      </c>
      <c r="AC146" s="17">
        <f t="shared" si="37"/>
        <v>0.11840031339293942</v>
      </c>
      <c r="AD146" s="18">
        <f>O146/X146</f>
        <v>531.14374999999995</v>
      </c>
      <c r="AE146" s="18">
        <f>N146/W146</f>
        <v>564.83720930232562</v>
      </c>
      <c r="AF146" s="16">
        <f t="shared" si="38"/>
        <v>6.3435669350012436E-2</v>
      </c>
      <c r="AG146">
        <f t="shared" si="39"/>
        <v>499.89999999999992</v>
      </c>
      <c r="AH146">
        <f t="shared" si="40"/>
        <v>506</v>
      </c>
      <c r="AI146" s="16">
        <f t="shared" si="41"/>
        <v>1.2202440488097781E-2</v>
      </c>
      <c r="AJ146" s="18">
        <f t="shared" si="42"/>
        <v>10.867176698313209</v>
      </c>
      <c r="AK146" s="18">
        <f t="shared" si="43"/>
        <v>9.699486134491007</v>
      </c>
      <c r="AL146" s="15">
        <f t="shared" si="44"/>
        <v>0.58798283261802575</v>
      </c>
    </row>
    <row r="147" spans="1:38" x14ac:dyDescent="0.35">
      <c r="A147" s="1" t="s">
        <v>23</v>
      </c>
      <c r="B147" s="6" t="s">
        <v>32</v>
      </c>
      <c r="C147" s="1">
        <v>6</v>
      </c>
      <c r="D147" s="1" t="s">
        <v>48</v>
      </c>
      <c r="E147" s="2">
        <v>421</v>
      </c>
      <c r="F147" s="2">
        <v>399</v>
      </c>
      <c r="G147" s="2">
        <f t="shared" si="30"/>
        <v>22</v>
      </c>
      <c r="H147" s="3">
        <f>E147*K147</f>
        <v>64413</v>
      </c>
      <c r="I147" s="3">
        <f>F147*L147</f>
        <v>62244</v>
      </c>
      <c r="J147" s="19">
        <f t="shared" si="31"/>
        <v>3.4846732215153269E-2</v>
      </c>
      <c r="K147" s="4">
        <v>153</v>
      </c>
      <c r="L147" s="4">
        <v>156</v>
      </c>
      <c r="M147" s="19">
        <f t="shared" si="32"/>
        <v>-1.9230769230769232E-2</v>
      </c>
      <c r="N147" s="3">
        <f>E147*Q147</f>
        <v>46731</v>
      </c>
      <c r="O147" s="3">
        <f>F147*R147</f>
        <v>39501</v>
      </c>
      <c r="P147" s="19">
        <f t="shared" si="33"/>
        <v>0.18303334092807777</v>
      </c>
      <c r="Q147" s="1">
        <v>111</v>
      </c>
      <c r="R147" s="1">
        <v>99</v>
      </c>
      <c r="S147" s="19">
        <f t="shared" si="34"/>
        <v>0.12121212121212122</v>
      </c>
      <c r="T147" s="1">
        <v>6722</v>
      </c>
      <c r="U147" s="1">
        <v>7312</v>
      </c>
      <c r="V147" s="19">
        <f t="shared" si="35"/>
        <v>-8.0689277899343548E-2</v>
      </c>
      <c r="W147" s="1">
        <v>101</v>
      </c>
      <c r="X147" s="4">
        <v>98.77</v>
      </c>
      <c r="Y147" s="19">
        <f t="shared" si="36"/>
        <v>2.2577705781107665E-2</v>
      </c>
      <c r="Z147" s="5">
        <v>2.2999999999999998</v>
      </c>
      <c r="AA147" s="17">
        <f>X147/U147</f>
        <v>1.3507932166301969E-2</v>
      </c>
      <c r="AB147" s="17">
        <f>W147/T147</f>
        <v>1.5025290092234455E-2</v>
      </c>
      <c r="AC147" s="17">
        <f t="shared" si="37"/>
        <v>0.11233088138522158</v>
      </c>
      <c r="AD147" s="18">
        <f>O147/X147</f>
        <v>399.92912827781714</v>
      </c>
      <c r="AE147" s="18">
        <f>N147/W147</f>
        <v>462.68316831683171</v>
      </c>
      <c r="AF147" s="16">
        <f t="shared" si="38"/>
        <v>0.15691290181649753</v>
      </c>
      <c r="AG147">
        <f t="shared" si="39"/>
        <v>399</v>
      </c>
      <c r="AH147">
        <f t="shared" si="40"/>
        <v>421</v>
      </c>
      <c r="AI147" s="16">
        <f t="shared" si="41"/>
        <v>5.5137844611528819E-2</v>
      </c>
      <c r="AJ147" s="18">
        <f t="shared" si="42"/>
        <v>16.534364772389171</v>
      </c>
      <c r="AK147" s="18">
        <f t="shared" si="43"/>
        <v>13.914797592997811</v>
      </c>
      <c r="AL147" s="15">
        <f t="shared" si="44"/>
        <v>0.57954545454545459</v>
      </c>
    </row>
    <row r="148" spans="1:38" x14ac:dyDescent="0.35">
      <c r="A148" s="1" t="s">
        <v>23</v>
      </c>
      <c r="B148" s="6" t="s">
        <v>33</v>
      </c>
      <c r="C148" s="1">
        <v>7</v>
      </c>
      <c r="D148" s="1" t="s">
        <v>48</v>
      </c>
      <c r="E148" s="2">
        <v>419</v>
      </c>
      <c r="F148" s="2">
        <v>419</v>
      </c>
      <c r="G148" s="2">
        <f t="shared" si="30"/>
        <v>0</v>
      </c>
      <c r="H148" s="3">
        <f>E148*K148</f>
        <v>59917</v>
      </c>
      <c r="I148" s="3">
        <f>F148*L148</f>
        <v>54889</v>
      </c>
      <c r="J148" s="19">
        <f t="shared" si="31"/>
        <v>9.1603053435114504E-2</v>
      </c>
      <c r="K148" s="4">
        <v>143</v>
      </c>
      <c r="L148" s="4">
        <v>131</v>
      </c>
      <c r="M148" s="19">
        <f t="shared" si="32"/>
        <v>9.1603053435114504E-2</v>
      </c>
      <c r="N148" s="3">
        <f>E148*Q148</f>
        <v>40224</v>
      </c>
      <c r="O148" s="3">
        <f>F148*R148</f>
        <v>35615</v>
      </c>
      <c r="P148" s="19">
        <f t="shared" si="33"/>
        <v>0.12941176470588237</v>
      </c>
      <c r="Q148" s="1">
        <v>96</v>
      </c>
      <c r="R148" s="1">
        <v>85</v>
      </c>
      <c r="S148" s="19">
        <f t="shared" si="34"/>
        <v>0.12941176470588237</v>
      </c>
      <c r="T148" s="1">
        <v>5073</v>
      </c>
      <c r="U148" s="1">
        <v>4939</v>
      </c>
      <c r="V148" s="19">
        <f t="shared" si="35"/>
        <v>2.7130998177768779E-2</v>
      </c>
      <c r="W148" s="1">
        <v>86</v>
      </c>
      <c r="X148" s="4">
        <v>73.5</v>
      </c>
      <c r="Y148" s="19">
        <f t="shared" si="36"/>
        <v>0.17006802721088435</v>
      </c>
      <c r="Z148" s="5">
        <v>4.2</v>
      </c>
      <c r="AA148" s="17">
        <f>X148/U148</f>
        <v>1.4881554970641831E-2</v>
      </c>
      <c r="AB148" s="17">
        <f>W148/T148</f>
        <v>1.6952493593534398E-2</v>
      </c>
      <c r="AC148" s="17">
        <f t="shared" si="37"/>
        <v>0.13916144025124338</v>
      </c>
      <c r="AD148" s="18">
        <f>O148/X148</f>
        <v>484.55782312925169</v>
      </c>
      <c r="AE148" s="18">
        <f>N148/W148</f>
        <v>467.72093023255815</v>
      </c>
      <c r="AF148" s="16">
        <f t="shared" si="38"/>
        <v>-3.4746922024623761E-2</v>
      </c>
      <c r="AG148">
        <f t="shared" si="39"/>
        <v>419</v>
      </c>
      <c r="AH148">
        <f t="shared" si="40"/>
        <v>419</v>
      </c>
      <c r="AI148" s="16">
        <f t="shared" si="41"/>
        <v>0</v>
      </c>
      <c r="AJ148" s="18">
        <f t="shared" si="42"/>
        <v>19.73999605755963</v>
      </c>
      <c r="AK148" s="18">
        <f t="shared" si="43"/>
        <v>18.324357157319294</v>
      </c>
      <c r="AL148" s="15">
        <f t="shared" si="44"/>
        <v>0.59832635983263593</v>
      </c>
    </row>
    <row r="149" spans="1:38" x14ac:dyDescent="0.35">
      <c r="A149" s="1" t="s">
        <v>23</v>
      </c>
      <c r="B149" s="6" t="s">
        <v>34</v>
      </c>
      <c r="C149" s="1">
        <v>8</v>
      </c>
      <c r="D149" s="1" t="s">
        <v>49</v>
      </c>
      <c r="E149" s="2">
        <v>149</v>
      </c>
      <c r="F149" s="2">
        <v>129.9</v>
      </c>
      <c r="G149" s="2">
        <f t="shared" si="30"/>
        <v>19.099999999999994</v>
      </c>
      <c r="H149" s="3">
        <f>E149*K149</f>
        <v>26522</v>
      </c>
      <c r="I149" s="3">
        <f>F149*L149</f>
        <v>20524.2</v>
      </c>
      <c r="J149" s="19">
        <f t="shared" si="31"/>
        <v>0.29223063505520308</v>
      </c>
      <c r="K149" s="4">
        <v>178</v>
      </c>
      <c r="L149" s="4">
        <v>158</v>
      </c>
      <c r="M149" s="19">
        <f t="shared" si="32"/>
        <v>0.12658227848101267</v>
      </c>
      <c r="N149" s="3">
        <f>E149*Q149</f>
        <v>17731</v>
      </c>
      <c r="O149" s="3">
        <f>F149*R149</f>
        <v>14418.900000000001</v>
      </c>
      <c r="P149" s="19">
        <f t="shared" si="33"/>
        <v>0.22970545603340048</v>
      </c>
      <c r="Q149" s="1">
        <v>119</v>
      </c>
      <c r="R149" s="1">
        <v>111</v>
      </c>
      <c r="S149" s="19">
        <f t="shared" si="34"/>
        <v>7.2072072072072071E-2</v>
      </c>
      <c r="T149" s="1">
        <v>11393</v>
      </c>
      <c r="U149" s="1">
        <v>11879</v>
      </c>
      <c r="V149" s="19">
        <f t="shared" si="35"/>
        <v>-4.0912534725145215E-2</v>
      </c>
      <c r="W149" s="1">
        <v>109</v>
      </c>
      <c r="X149" s="1">
        <v>106</v>
      </c>
      <c r="Y149" s="19">
        <f t="shared" si="36"/>
        <v>2.8301886792452831E-2</v>
      </c>
      <c r="Z149" s="1">
        <v>3.9</v>
      </c>
      <c r="AA149" s="17">
        <f>X149/U149</f>
        <v>8.9233100429329075E-3</v>
      </c>
      <c r="AB149" s="17">
        <f>W149/T149</f>
        <v>9.5672781532519964E-3</v>
      </c>
      <c r="AC149" s="17">
        <f t="shared" si="37"/>
        <v>7.2166954551702425E-2</v>
      </c>
      <c r="AD149" s="18">
        <f>O149/X149</f>
        <v>136.02735849056606</v>
      </c>
      <c r="AE149" s="18">
        <f>N149/W149</f>
        <v>162.6697247706422</v>
      </c>
      <c r="AF149" s="16">
        <f t="shared" si="38"/>
        <v>0.19586035173890318</v>
      </c>
      <c r="AG149">
        <f t="shared" si="39"/>
        <v>129.9</v>
      </c>
      <c r="AH149">
        <f t="shared" si="40"/>
        <v>149</v>
      </c>
      <c r="AI149" s="16">
        <f t="shared" si="41"/>
        <v>0.14703618167821397</v>
      </c>
      <c r="AJ149" s="18">
        <f t="shared" si="42"/>
        <v>3.8842271570262441</v>
      </c>
      <c r="AK149" s="18">
        <f t="shared" si="43"/>
        <v>2.9415859920868765</v>
      </c>
      <c r="AL149" s="15">
        <f t="shared" si="44"/>
        <v>0.59932659932659937</v>
      </c>
    </row>
    <row r="150" spans="1:38" x14ac:dyDescent="0.35">
      <c r="A150" s="1" t="s">
        <v>23</v>
      </c>
      <c r="B150" s="6" t="s">
        <v>35</v>
      </c>
      <c r="C150" s="1">
        <v>9</v>
      </c>
      <c r="D150" s="1" t="s">
        <v>49</v>
      </c>
      <c r="E150" s="2">
        <v>139</v>
      </c>
      <c r="F150" s="2">
        <v>99</v>
      </c>
      <c r="G150" s="2">
        <f t="shared" si="30"/>
        <v>40</v>
      </c>
      <c r="H150" s="3">
        <f>E150*K150</f>
        <v>16263</v>
      </c>
      <c r="I150" s="3">
        <f>F150*L150</f>
        <v>11682</v>
      </c>
      <c r="J150" s="19">
        <f t="shared" si="31"/>
        <v>0.39214175654853622</v>
      </c>
      <c r="K150" s="4">
        <v>117</v>
      </c>
      <c r="L150" s="4">
        <v>118</v>
      </c>
      <c r="M150" s="19">
        <f t="shared" si="32"/>
        <v>-8.4745762711864406E-3</v>
      </c>
      <c r="N150" s="3">
        <f>E150*Q150</f>
        <v>2780</v>
      </c>
      <c r="O150" s="3">
        <f>F150*R150</f>
        <v>1980</v>
      </c>
      <c r="P150" s="19">
        <f t="shared" si="33"/>
        <v>0.40404040404040403</v>
      </c>
      <c r="Q150" s="1">
        <v>20</v>
      </c>
      <c r="R150" s="1">
        <v>20</v>
      </c>
      <c r="S150" s="19">
        <f t="shared" si="34"/>
        <v>0</v>
      </c>
      <c r="T150" s="1">
        <v>9645</v>
      </c>
      <c r="U150" s="1">
        <v>8335</v>
      </c>
      <c r="V150" s="19">
        <f t="shared" si="35"/>
        <v>0.15716856628674264</v>
      </c>
      <c r="W150" s="1">
        <v>22</v>
      </c>
      <c r="X150" s="4">
        <v>26.4</v>
      </c>
      <c r="Y150" s="19">
        <f t="shared" si="36"/>
        <v>-0.16666666666666663</v>
      </c>
      <c r="Z150" s="5">
        <v>2</v>
      </c>
      <c r="AA150" s="17">
        <f>X150/U150</f>
        <v>3.167366526694661E-3</v>
      </c>
      <c r="AB150" s="17">
        <f>W150/T150</f>
        <v>2.2809745982374286E-3</v>
      </c>
      <c r="AC150" s="17">
        <f t="shared" si="37"/>
        <v>-0.27985139104890272</v>
      </c>
      <c r="AD150" s="18">
        <f>O150/X150</f>
        <v>75</v>
      </c>
      <c r="AE150" s="18">
        <f>N150/W150</f>
        <v>126.36363636363636</v>
      </c>
      <c r="AF150" s="16">
        <f t="shared" si="38"/>
        <v>0.68484848484848482</v>
      </c>
      <c r="AG150">
        <f t="shared" si="39"/>
        <v>99</v>
      </c>
      <c r="AH150">
        <f t="shared" si="40"/>
        <v>139</v>
      </c>
      <c r="AI150" s="16">
        <f t="shared" si="41"/>
        <v>0.40404040404040403</v>
      </c>
      <c r="AJ150" s="18">
        <f t="shared" si="42"/>
        <v>1.9743908761016071</v>
      </c>
      <c r="AK150" s="18">
        <f t="shared" si="43"/>
        <v>1.639112177564487</v>
      </c>
      <c r="AL150" s="15">
        <f t="shared" si="44"/>
        <v>0.85401459854014594</v>
      </c>
    </row>
    <row r="151" spans="1:38" x14ac:dyDescent="0.35">
      <c r="A151" s="1" t="s">
        <v>23</v>
      </c>
      <c r="B151" s="6" t="s">
        <v>36</v>
      </c>
      <c r="C151" s="1">
        <v>10</v>
      </c>
      <c r="D151" s="1" t="s">
        <v>49</v>
      </c>
      <c r="E151" s="2">
        <v>79</v>
      </c>
      <c r="F151" s="2">
        <v>79</v>
      </c>
      <c r="G151" s="2">
        <f t="shared" si="30"/>
        <v>0</v>
      </c>
      <c r="H151" s="3">
        <f>E151*K151</f>
        <v>15484</v>
      </c>
      <c r="I151" s="3">
        <f>F151*L151</f>
        <v>14694</v>
      </c>
      <c r="J151" s="19">
        <f t="shared" si="31"/>
        <v>5.3763440860215055E-2</v>
      </c>
      <c r="K151" s="4">
        <v>196</v>
      </c>
      <c r="L151" s="4">
        <v>186</v>
      </c>
      <c r="M151" s="19">
        <f t="shared" si="32"/>
        <v>5.3763440860215055E-2</v>
      </c>
      <c r="N151" s="3">
        <f>E151*Q151</f>
        <v>5846</v>
      </c>
      <c r="O151" s="3">
        <f>F151*R151</f>
        <v>5293</v>
      </c>
      <c r="P151" s="19">
        <f t="shared" si="33"/>
        <v>0.1044776119402985</v>
      </c>
      <c r="Q151" s="1">
        <v>74</v>
      </c>
      <c r="R151" s="1">
        <v>67</v>
      </c>
      <c r="S151" s="19">
        <f t="shared" si="34"/>
        <v>0.1044776119402985</v>
      </c>
      <c r="T151" s="1">
        <v>10875</v>
      </c>
      <c r="U151" s="1">
        <v>10877</v>
      </c>
      <c r="V151" s="19">
        <f t="shared" si="35"/>
        <v>-1.8387423002666178E-4</v>
      </c>
      <c r="W151" s="1">
        <v>64</v>
      </c>
      <c r="X151" s="1">
        <v>62</v>
      </c>
      <c r="Y151" s="19">
        <f t="shared" si="36"/>
        <v>3.2258064516129031E-2</v>
      </c>
      <c r="Z151" s="5">
        <v>2.2000000000000002</v>
      </c>
      <c r="AA151" s="17">
        <f>X151/U151</f>
        <v>5.7001011308265145E-3</v>
      </c>
      <c r="AB151" s="17">
        <f>W151/T151</f>
        <v>5.8850574712643678E-3</v>
      </c>
      <c r="AC151" s="17">
        <f t="shared" si="37"/>
        <v>3.2447905079718224E-2</v>
      </c>
      <c r="AD151" s="18">
        <f>O151/X151</f>
        <v>85.370967741935488</v>
      </c>
      <c r="AE151" s="18">
        <f>N151/W151</f>
        <v>91.34375</v>
      </c>
      <c r="AF151" s="16">
        <f t="shared" si="38"/>
        <v>6.9962686567164131E-2</v>
      </c>
      <c r="AG151">
        <f t="shared" si="39"/>
        <v>79</v>
      </c>
      <c r="AH151">
        <f t="shared" si="40"/>
        <v>79</v>
      </c>
      <c r="AI151" s="16">
        <f t="shared" si="41"/>
        <v>0</v>
      </c>
      <c r="AJ151" s="18">
        <f t="shared" si="42"/>
        <v>1.9613793103448276</v>
      </c>
      <c r="AK151" s="18">
        <f t="shared" si="43"/>
        <v>1.8375471177714444</v>
      </c>
      <c r="AL151" s="15">
        <f t="shared" si="44"/>
        <v>0.72592592592592597</v>
      </c>
    </row>
    <row r="152" spans="1:38" x14ac:dyDescent="0.35">
      <c r="A152" s="1" t="s">
        <v>23</v>
      </c>
      <c r="B152" s="6" t="s">
        <v>37</v>
      </c>
      <c r="C152" s="1">
        <v>11</v>
      </c>
      <c r="D152" s="1" t="s">
        <v>49</v>
      </c>
      <c r="E152" s="2">
        <v>129</v>
      </c>
      <c r="F152" s="2">
        <v>129</v>
      </c>
      <c r="G152" s="2">
        <f t="shared" si="30"/>
        <v>0</v>
      </c>
      <c r="H152" s="3">
        <f>E152*K152</f>
        <v>18963</v>
      </c>
      <c r="I152" s="3">
        <f>F152*L152</f>
        <v>17286</v>
      </c>
      <c r="J152" s="19">
        <f t="shared" si="31"/>
        <v>9.7014925373134331E-2</v>
      </c>
      <c r="K152" s="4">
        <v>147</v>
      </c>
      <c r="L152" s="4">
        <v>134</v>
      </c>
      <c r="M152" s="19">
        <f t="shared" si="32"/>
        <v>9.7014925373134331E-2</v>
      </c>
      <c r="N152" s="3">
        <f>E152*Q152</f>
        <v>3870</v>
      </c>
      <c r="O152" s="3">
        <f>F152*R152</f>
        <v>3870</v>
      </c>
      <c r="P152" s="19">
        <f t="shared" si="33"/>
        <v>0</v>
      </c>
      <c r="Q152" s="1">
        <v>30</v>
      </c>
      <c r="R152" s="1">
        <v>30</v>
      </c>
      <c r="S152" s="19">
        <f t="shared" si="34"/>
        <v>0</v>
      </c>
      <c r="T152" s="1">
        <v>6429</v>
      </c>
      <c r="U152" s="1">
        <v>6498</v>
      </c>
      <c r="V152" s="19">
        <f t="shared" si="35"/>
        <v>-1.0618651892890119E-2</v>
      </c>
      <c r="W152" s="1">
        <v>29</v>
      </c>
      <c r="X152" s="4">
        <v>35</v>
      </c>
      <c r="Y152" s="19">
        <f t="shared" si="36"/>
        <v>-0.17142857142857143</v>
      </c>
      <c r="Z152" s="5">
        <v>1</v>
      </c>
      <c r="AA152" s="17">
        <f>X152/U152</f>
        <v>5.3862726992920896E-3</v>
      </c>
      <c r="AB152" s="17">
        <f>W152/T152</f>
        <v>4.5108103904184169E-3</v>
      </c>
      <c r="AC152" s="17">
        <f t="shared" si="37"/>
        <v>-0.16253583094460361</v>
      </c>
      <c r="AD152" s="18">
        <f>O152/X152</f>
        <v>110.57142857142857</v>
      </c>
      <c r="AE152" s="18">
        <f>N152/W152</f>
        <v>133.44827586206895</v>
      </c>
      <c r="AF152" s="16">
        <f t="shared" si="38"/>
        <v>0.20689655172413784</v>
      </c>
      <c r="AG152">
        <f t="shared" si="39"/>
        <v>129</v>
      </c>
      <c r="AH152">
        <f t="shared" si="40"/>
        <v>129</v>
      </c>
      <c r="AI152" s="16">
        <f t="shared" si="41"/>
        <v>0</v>
      </c>
      <c r="AJ152" s="18">
        <f t="shared" si="42"/>
        <v>3.551563229118059</v>
      </c>
      <c r="AK152" s="18">
        <f t="shared" si="43"/>
        <v>3.2557710064635272</v>
      </c>
      <c r="AL152" s="15">
        <f t="shared" si="44"/>
        <v>0.83050847457627119</v>
      </c>
    </row>
    <row r="153" spans="1:38" x14ac:dyDescent="0.35">
      <c r="A153" s="1" t="s">
        <v>23</v>
      </c>
      <c r="B153" s="6" t="s">
        <v>38</v>
      </c>
      <c r="C153" s="1">
        <v>12</v>
      </c>
      <c r="D153" s="1" t="s">
        <v>50</v>
      </c>
      <c r="E153" s="2">
        <v>779</v>
      </c>
      <c r="F153" s="2">
        <v>649.20000000000005</v>
      </c>
      <c r="G153" s="2">
        <f t="shared" si="30"/>
        <v>129.79999999999995</v>
      </c>
      <c r="H153" s="3">
        <f>E153*K153</f>
        <v>45182</v>
      </c>
      <c r="I153" s="3">
        <f>F153*L153</f>
        <v>37004.400000000001</v>
      </c>
      <c r="J153" s="19">
        <f t="shared" si="31"/>
        <v>0.22098993633189562</v>
      </c>
      <c r="K153" s="4">
        <v>58</v>
      </c>
      <c r="L153" s="4">
        <v>57</v>
      </c>
      <c r="M153" s="19">
        <f t="shared" si="32"/>
        <v>1.7543859649122806E-2</v>
      </c>
      <c r="N153" s="3">
        <f>E153*Q153</f>
        <v>97375</v>
      </c>
      <c r="O153" s="3">
        <f>F153*R153</f>
        <v>77904</v>
      </c>
      <c r="P153" s="19">
        <f t="shared" si="33"/>
        <v>0.24993581844321217</v>
      </c>
      <c r="Q153" s="1">
        <v>125</v>
      </c>
      <c r="R153" s="1">
        <v>120</v>
      </c>
      <c r="S153" s="19">
        <f t="shared" si="34"/>
        <v>4.1666666666666664E-2</v>
      </c>
      <c r="T153" s="1">
        <v>8526</v>
      </c>
      <c r="U153" s="1">
        <v>8669</v>
      </c>
      <c r="V153" s="19">
        <f t="shared" si="35"/>
        <v>-1.6495558887991695E-2</v>
      </c>
      <c r="W153" s="1">
        <v>115</v>
      </c>
      <c r="X153" s="1">
        <v>115</v>
      </c>
      <c r="Y153" s="19">
        <f t="shared" si="36"/>
        <v>0</v>
      </c>
      <c r="Z153" s="1">
        <v>4</v>
      </c>
      <c r="AA153" s="17">
        <f>X153/U153</f>
        <v>1.3265659245587726E-2</v>
      </c>
      <c r="AB153" s="17">
        <f>W153/T153</f>
        <v>1.3488153882242553E-2</v>
      </c>
      <c r="AC153" s="17">
        <f t="shared" si="37"/>
        <v>1.6772226131832074E-2</v>
      </c>
      <c r="AD153" s="18">
        <f>O153/X153</f>
        <v>677.42608695652177</v>
      </c>
      <c r="AE153" s="18">
        <f>N153/W153</f>
        <v>846.73913043478262</v>
      </c>
      <c r="AF153" s="16">
        <f t="shared" si="38"/>
        <v>0.24993581844321211</v>
      </c>
      <c r="AG153">
        <f t="shared" si="39"/>
        <v>649.20000000000005</v>
      </c>
      <c r="AH153">
        <f t="shared" si="40"/>
        <v>779</v>
      </c>
      <c r="AI153" s="16">
        <f t="shared" si="41"/>
        <v>0.19993838570548358</v>
      </c>
      <c r="AJ153" s="18">
        <f t="shared" si="42"/>
        <v>16.720267417311753</v>
      </c>
      <c r="AK153" s="18">
        <f t="shared" si="43"/>
        <v>13.255092859614718</v>
      </c>
      <c r="AL153" s="15">
        <f t="shared" si="44"/>
        <v>0.31693989071038253</v>
      </c>
    </row>
    <row r="154" spans="1:38" x14ac:dyDescent="0.35">
      <c r="A154" s="1" t="s">
        <v>23</v>
      </c>
      <c r="B154" s="6" t="s">
        <v>39</v>
      </c>
      <c r="C154" s="1">
        <v>13</v>
      </c>
      <c r="D154" s="1" t="s">
        <v>50</v>
      </c>
      <c r="E154" s="2">
        <v>136</v>
      </c>
      <c r="F154" s="2">
        <v>136</v>
      </c>
      <c r="G154" s="2">
        <f t="shared" si="30"/>
        <v>0</v>
      </c>
      <c r="H154" s="3">
        <f>E154*K154</f>
        <v>23392</v>
      </c>
      <c r="I154" s="3">
        <f>F154*L154</f>
        <v>23256</v>
      </c>
      <c r="J154" s="19">
        <f t="shared" si="31"/>
        <v>5.8479532163742687E-3</v>
      </c>
      <c r="K154" s="4">
        <v>172</v>
      </c>
      <c r="L154" s="4">
        <v>171</v>
      </c>
      <c r="M154" s="19">
        <f t="shared" si="32"/>
        <v>5.8479532163742687E-3</v>
      </c>
      <c r="N154" s="3">
        <f>E154*Q154</f>
        <v>13056</v>
      </c>
      <c r="O154" s="3">
        <f>F154*R154</f>
        <v>13056</v>
      </c>
      <c r="P154" s="19">
        <f t="shared" si="33"/>
        <v>0</v>
      </c>
      <c r="Q154" s="1">
        <v>96</v>
      </c>
      <c r="R154" s="1">
        <v>96</v>
      </c>
      <c r="S154" s="19">
        <f t="shared" si="34"/>
        <v>0</v>
      </c>
      <c r="T154" s="1">
        <v>5757</v>
      </c>
      <c r="U154" s="1">
        <v>6330</v>
      </c>
      <c r="V154" s="19">
        <f t="shared" si="35"/>
        <v>-9.0521327014218014E-2</v>
      </c>
      <c r="W154" s="1">
        <v>86</v>
      </c>
      <c r="X154" s="4">
        <v>75.400000000000006</v>
      </c>
      <c r="Y154" s="19">
        <f t="shared" si="36"/>
        <v>0.14058355437665773</v>
      </c>
      <c r="Z154" s="5">
        <v>2.5</v>
      </c>
      <c r="AA154" s="17">
        <f>X154/U154</f>
        <v>1.1911532385466035E-2</v>
      </c>
      <c r="AB154" s="17">
        <f>W154/T154</f>
        <v>1.4938335938857043E-2</v>
      </c>
      <c r="AC154" s="17">
        <f t="shared" si="37"/>
        <v>0.25410698266531939</v>
      </c>
      <c r="AD154" s="18">
        <f>O154/X154</f>
        <v>173.15649867374003</v>
      </c>
      <c r="AE154" s="18">
        <f>N154/W154</f>
        <v>151.81395348837211</v>
      </c>
      <c r="AF154" s="16">
        <f t="shared" si="38"/>
        <v>-0.12325581395348818</v>
      </c>
      <c r="AG154">
        <f t="shared" si="39"/>
        <v>136</v>
      </c>
      <c r="AH154">
        <f t="shared" si="40"/>
        <v>136</v>
      </c>
      <c r="AI154" s="16">
        <f t="shared" si="41"/>
        <v>0</v>
      </c>
      <c r="AJ154" s="18">
        <f t="shared" si="42"/>
        <v>6.3310752127844365</v>
      </c>
      <c r="AK154" s="18">
        <f t="shared" si="43"/>
        <v>5.7364928909952608</v>
      </c>
      <c r="AL154" s="15">
        <f t="shared" si="44"/>
        <v>0.64179104477611937</v>
      </c>
    </row>
    <row r="155" spans="1:38" x14ac:dyDescent="0.35">
      <c r="A155" s="1" t="s">
        <v>23</v>
      </c>
      <c r="B155" s="6" t="s">
        <v>40</v>
      </c>
      <c r="C155" s="1">
        <v>14</v>
      </c>
      <c r="D155" s="1" t="s">
        <v>50</v>
      </c>
      <c r="E155" s="2">
        <v>249</v>
      </c>
      <c r="F155" s="2">
        <v>249</v>
      </c>
      <c r="G155" s="2">
        <f t="shared" si="30"/>
        <v>0</v>
      </c>
      <c r="H155" s="3">
        <f>E155*K155</f>
        <v>43077</v>
      </c>
      <c r="I155" s="3">
        <f>F155*L155</f>
        <v>43575</v>
      </c>
      <c r="J155" s="19">
        <f t="shared" si="31"/>
        <v>-1.1428571428571429E-2</v>
      </c>
      <c r="K155" s="4">
        <v>173</v>
      </c>
      <c r="L155" s="4">
        <v>175</v>
      </c>
      <c r="M155" s="19">
        <f t="shared" si="32"/>
        <v>-1.1428571428571429E-2</v>
      </c>
      <c r="N155" s="3">
        <f>E155*Q155</f>
        <v>13695</v>
      </c>
      <c r="O155" s="3">
        <f>F155*R155</f>
        <v>12948</v>
      </c>
      <c r="P155" s="19">
        <f t="shared" si="33"/>
        <v>5.7692307692307696E-2</v>
      </c>
      <c r="Q155" s="1">
        <v>55</v>
      </c>
      <c r="R155" s="1">
        <v>52</v>
      </c>
      <c r="S155" s="19">
        <f t="shared" si="34"/>
        <v>5.7692307692307696E-2</v>
      </c>
      <c r="T155" s="1">
        <v>13115</v>
      </c>
      <c r="U155" s="1">
        <v>13763</v>
      </c>
      <c r="V155" s="19">
        <f t="shared" si="35"/>
        <v>-4.7082758119596016E-2</v>
      </c>
      <c r="W155" s="1">
        <v>45</v>
      </c>
      <c r="X155" s="1">
        <v>47</v>
      </c>
      <c r="Y155" s="19">
        <f t="shared" si="36"/>
        <v>-4.2553191489361701E-2</v>
      </c>
      <c r="Z155" s="1">
        <v>3.9</v>
      </c>
      <c r="AA155" s="17">
        <f>X155/U155</f>
        <v>3.4149531352176124E-3</v>
      </c>
      <c r="AB155" s="17">
        <f>W155/T155</f>
        <v>3.4311856652687761E-3</v>
      </c>
      <c r="AC155" s="17">
        <f t="shared" si="37"/>
        <v>4.7533683211524649E-3</v>
      </c>
      <c r="AD155" s="18">
        <f>O155/X155</f>
        <v>275.48936170212767</v>
      </c>
      <c r="AE155" s="18">
        <f>N155/W155</f>
        <v>304.33333333333331</v>
      </c>
      <c r="AF155" s="16">
        <f t="shared" si="38"/>
        <v>0.10470085470085461</v>
      </c>
      <c r="AG155">
        <f t="shared" si="39"/>
        <v>249</v>
      </c>
      <c r="AH155">
        <f t="shared" si="40"/>
        <v>249</v>
      </c>
      <c r="AI155" s="16">
        <f t="shared" si="41"/>
        <v>0</v>
      </c>
      <c r="AJ155" s="18">
        <f t="shared" si="42"/>
        <v>4.3287838353030876</v>
      </c>
      <c r="AK155" s="18">
        <f t="shared" si="43"/>
        <v>4.1068807672745766</v>
      </c>
      <c r="AL155" s="15">
        <f t="shared" si="44"/>
        <v>0.75877192982456143</v>
      </c>
    </row>
    <row r="156" spans="1:38" x14ac:dyDescent="0.35">
      <c r="A156" s="1" t="s">
        <v>23</v>
      </c>
      <c r="B156" s="6" t="s">
        <v>41</v>
      </c>
      <c r="C156" s="1">
        <v>15</v>
      </c>
      <c r="D156" s="1" t="s">
        <v>50</v>
      </c>
      <c r="E156" s="2">
        <v>155</v>
      </c>
      <c r="F156" s="2">
        <v>155</v>
      </c>
      <c r="G156" s="2">
        <f t="shared" si="30"/>
        <v>0</v>
      </c>
      <c r="H156" s="3">
        <f>E156*K156</f>
        <v>15345</v>
      </c>
      <c r="I156" s="3">
        <f>F156*L156</f>
        <v>15810</v>
      </c>
      <c r="J156" s="19">
        <f t="shared" si="31"/>
        <v>-2.9411764705882353E-2</v>
      </c>
      <c r="K156" s="4">
        <v>99</v>
      </c>
      <c r="L156" s="4">
        <v>102</v>
      </c>
      <c r="M156" s="19">
        <f t="shared" si="32"/>
        <v>-2.9411764705882353E-2</v>
      </c>
      <c r="N156" s="3">
        <f>E156*Q156</f>
        <v>15190</v>
      </c>
      <c r="O156" s="3">
        <f>F156*R156</f>
        <v>14725</v>
      </c>
      <c r="P156" s="19">
        <f t="shared" si="33"/>
        <v>3.1578947368421054E-2</v>
      </c>
      <c r="Q156" s="1">
        <v>98</v>
      </c>
      <c r="R156" s="1">
        <v>95</v>
      </c>
      <c r="S156" s="19">
        <f t="shared" si="34"/>
        <v>3.1578947368421054E-2</v>
      </c>
      <c r="T156" s="1">
        <v>14681</v>
      </c>
      <c r="U156" s="1">
        <v>15384</v>
      </c>
      <c r="V156" s="19">
        <f t="shared" si="35"/>
        <v>-4.5696827873114923E-2</v>
      </c>
      <c r="W156" s="1">
        <v>88</v>
      </c>
      <c r="X156" s="4">
        <v>77.05</v>
      </c>
      <c r="Y156" s="19">
        <f t="shared" si="36"/>
        <v>0.1421155094094744</v>
      </c>
      <c r="Z156" s="5">
        <v>3.5</v>
      </c>
      <c r="AA156" s="17">
        <f>X156/U156</f>
        <v>5.0084503380135202E-3</v>
      </c>
      <c r="AB156" s="17">
        <f>W156/T156</f>
        <v>5.9941420884135959E-3</v>
      </c>
      <c r="AC156" s="17">
        <f t="shared" si="37"/>
        <v>0.19680573508312482</v>
      </c>
      <c r="AD156" s="18">
        <f>O156/X156</f>
        <v>191.10966904607398</v>
      </c>
      <c r="AE156" s="18">
        <f>N156/W156</f>
        <v>172.61363636363637</v>
      </c>
      <c r="AF156" s="16">
        <f t="shared" si="38"/>
        <v>-9.6782296650717636E-2</v>
      </c>
      <c r="AG156">
        <f t="shared" si="39"/>
        <v>155</v>
      </c>
      <c r="AH156">
        <f t="shared" si="40"/>
        <v>155</v>
      </c>
      <c r="AI156" s="16">
        <f t="shared" si="41"/>
        <v>0</v>
      </c>
      <c r="AJ156" s="18">
        <f t="shared" si="42"/>
        <v>2.079899189428513</v>
      </c>
      <c r="AK156" s="18">
        <f t="shared" si="43"/>
        <v>1.984854394175767</v>
      </c>
      <c r="AL156" s="15">
        <f t="shared" si="44"/>
        <v>0.5025380710659898</v>
      </c>
    </row>
    <row r="157" spans="1:38" x14ac:dyDescent="0.35">
      <c r="A157" s="1" t="s">
        <v>23</v>
      </c>
      <c r="B157" s="6" t="s">
        <v>42</v>
      </c>
      <c r="C157" s="1">
        <v>16</v>
      </c>
      <c r="D157" s="1" t="s">
        <v>50</v>
      </c>
      <c r="E157" s="2">
        <v>627</v>
      </c>
      <c r="F157" s="2">
        <v>627</v>
      </c>
      <c r="G157" s="2">
        <f t="shared" si="30"/>
        <v>0</v>
      </c>
      <c r="H157" s="3">
        <f>E157*K157</f>
        <v>55176</v>
      </c>
      <c r="I157" s="3">
        <f>F157*L157</f>
        <v>50160</v>
      </c>
      <c r="J157" s="19">
        <f t="shared" si="31"/>
        <v>0.1</v>
      </c>
      <c r="K157" s="4">
        <v>88</v>
      </c>
      <c r="L157" s="4">
        <v>80</v>
      </c>
      <c r="M157" s="19">
        <f t="shared" si="32"/>
        <v>0.1</v>
      </c>
      <c r="N157" s="3">
        <f>E157*Q157</f>
        <v>62700</v>
      </c>
      <c r="O157" s="3">
        <f>F157*R157</f>
        <v>58311</v>
      </c>
      <c r="P157" s="19">
        <f t="shared" si="33"/>
        <v>7.5268817204301078E-2</v>
      </c>
      <c r="Q157" s="1">
        <v>100</v>
      </c>
      <c r="R157" s="1">
        <v>93</v>
      </c>
      <c r="S157" s="19">
        <f t="shared" si="34"/>
        <v>7.5268817204301078E-2</v>
      </c>
      <c r="T157" s="1">
        <v>8177</v>
      </c>
      <c r="U157" s="1">
        <v>8011</v>
      </c>
      <c r="V157" s="19">
        <f t="shared" si="35"/>
        <v>2.0721507926600925E-2</v>
      </c>
      <c r="W157" s="1">
        <v>90</v>
      </c>
      <c r="X157" s="1">
        <v>88</v>
      </c>
      <c r="Y157" s="19">
        <f t="shared" si="36"/>
        <v>2.2727272727272728E-2</v>
      </c>
      <c r="Z157" s="1">
        <v>4</v>
      </c>
      <c r="AA157" s="17">
        <f>X157/U157</f>
        <v>1.0984895768318561E-2</v>
      </c>
      <c r="AB157" s="17">
        <f>W157/T157</f>
        <v>1.1006481594716889E-2</v>
      </c>
      <c r="AC157" s="17">
        <f t="shared" si="37"/>
        <v>1.965046082693205E-3</v>
      </c>
      <c r="AD157" s="18">
        <f>O157/X157</f>
        <v>662.625</v>
      </c>
      <c r="AE157" s="18">
        <f>N157/W157</f>
        <v>696.66666666666663</v>
      </c>
      <c r="AF157" s="16">
        <f t="shared" si="38"/>
        <v>5.1373954599760997E-2</v>
      </c>
      <c r="AG157">
        <f t="shared" si="39"/>
        <v>627</v>
      </c>
      <c r="AH157">
        <f t="shared" si="40"/>
        <v>627</v>
      </c>
      <c r="AI157" s="16">
        <f t="shared" si="41"/>
        <v>0</v>
      </c>
      <c r="AJ157" s="18">
        <f t="shared" si="42"/>
        <v>14.415555827320533</v>
      </c>
      <c r="AK157" s="18">
        <f t="shared" si="43"/>
        <v>13.540257146423668</v>
      </c>
      <c r="AL157" s="15">
        <f t="shared" si="44"/>
        <v>0.46808510638297873</v>
      </c>
    </row>
    <row r="158" spans="1:38" x14ac:dyDescent="0.35">
      <c r="A158" s="1" t="s">
        <v>23</v>
      </c>
      <c r="B158" s="6" t="s">
        <v>43</v>
      </c>
      <c r="C158" s="1">
        <v>17</v>
      </c>
      <c r="D158" s="1" t="s">
        <v>50</v>
      </c>
      <c r="E158" s="2">
        <v>179</v>
      </c>
      <c r="F158" s="2">
        <v>169</v>
      </c>
      <c r="G158" s="2">
        <f t="shared" si="30"/>
        <v>10</v>
      </c>
      <c r="H158" s="3">
        <f>E158*K158</f>
        <v>18258</v>
      </c>
      <c r="I158" s="3">
        <f>F158*L158</f>
        <v>16393</v>
      </c>
      <c r="J158" s="19">
        <f t="shared" si="31"/>
        <v>0.11376807173793692</v>
      </c>
      <c r="K158" s="4">
        <v>102</v>
      </c>
      <c r="L158" s="4">
        <v>97</v>
      </c>
      <c r="M158" s="19">
        <f t="shared" si="32"/>
        <v>5.1546391752577317E-2</v>
      </c>
      <c r="N158" s="3">
        <f>E158*Q158</f>
        <v>7518</v>
      </c>
      <c r="O158" s="3">
        <f>F158*R158</f>
        <v>6253</v>
      </c>
      <c r="P158" s="19">
        <f t="shared" si="33"/>
        <v>0.20230289461058693</v>
      </c>
      <c r="Q158" s="1">
        <v>42</v>
      </c>
      <c r="R158" s="1">
        <v>37</v>
      </c>
      <c r="S158" s="19">
        <f t="shared" si="34"/>
        <v>0.13513513513513514</v>
      </c>
      <c r="T158" s="1">
        <v>14812</v>
      </c>
      <c r="U158" s="1">
        <v>14432</v>
      </c>
      <c r="V158" s="19">
        <f t="shared" si="35"/>
        <v>2.6330376940133036E-2</v>
      </c>
      <c r="W158" s="1">
        <v>32</v>
      </c>
      <c r="X158" s="4">
        <v>34.200000000000003</v>
      </c>
      <c r="Y158" s="19">
        <f t="shared" si="36"/>
        <v>-6.4327485380117039E-2</v>
      </c>
      <c r="Z158" s="1">
        <v>3.9</v>
      </c>
      <c r="AA158" s="17">
        <f>X158/U158</f>
        <v>2.3697339246119735E-3</v>
      </c>
      <c r="AB158" s="17">
        <f>W158/T158</f>
        <v>2.1604104779908181E-3</v>
      </c>
      <c r="AC158" s="17">
        <f t="shared" si="37"/>
        <v>-8.8332046246681714E-2</v>
      </c>
      <c r="AD158" s="18">
        <f>O158/X158</f>
        <v>182.83625730994152</v>
      </c>
      <c r="AE158" s="18">
        <f>N158/W158</f>
        <v>234.9375</v>
      </c>
      <c r="AF158" s="16">
        <f t="shared" si="38"/>
        <v>0.28496121861506479</v>
      </c>
      <c r="AG158">
        <f t="shared" si="39"/>
        <v>169</v>
      </c>
      <c r="AH158">
        <f t="shared" si="40"/>
        <v>179</v>
      </c>
      <c r="AI158" s="16">
        <f t="shared" si="41"/>
        <v>5.9171597633136092E-2</v>
      </c>
      <c r="AJ158" s="18">
        <f t="shared" si="42"/>
        <v>1.7402106400216042</v>
      </c>
      <c r="AK158" s="18">
        <f t="shared" si="43"/>
        <v>1.5691518847006651</v>
      </c>
      <c r="AL158" s="15">
        <f t="shared" si="44"/>
        <v>0.70833333333333337</v>
      </c>
    </row>
    <row r="159" spans="1:38" x14ac:dyDescent="0.35">
      <c r="A159" s="1" t="s">
        <v>23</v>
      </c>
      <c r="B159" s="6" t="s">
        <v>44</v>
      </c>
      <c r="C159" s="1">
        <v>18</v>
      </c>
      <c r="D159" s="1" t="s">
        <v>50</v>
      </c>
      <c r="E159" s="2">
        <v>475</v>
      </c>
      <c r="F159" s="2">
        <v>475</v>
      </c>
      <c r="G159" s="2">
        <f t="shared" si="30"/>
        <v>0</v>
      </c>
      <c r="H159" s="3">
        <f>E159*K159</f>
        <v>81700</v>
      </c>
      <c r="I159" s="3">
        <f>F159*L159</f>
        <v>75525</v>
      </c>
      <c r="J159" s="19">
        <f t="shared" si="31"/>
        <v>8.1761006289308172E-2</v>
      </c>
      <c r="K159" s="4">
        <v>172</v>
      </c>
      <c r="L159" s="4">
        <v>159</v>
      </c>
      <c r="M159" s="19">
        <f t="shared" si="32"/>
        <v>8.1761006289308172E-2</v>
      </c>
      <c r="N159" s="3">
        <f>E159*Q159</f>
        <v>42275</v>
      </c>
      <c r="O159" s="3">
        <f>F159*R159</f>
        <v>37525</v>
      </c>
      <c r="P159" s="19">
        <f t="shared" si="33"/>
        <v>0.12658227848101267</v>
      </c>
      <c r="Q159" s="1">
        <v>89</v>
      </c>
      <c r="R159" s="1">
        <v>79</v>
      </c>
      <c r="S159" s="19">
        <f t="shared" si="34"/>
        <v>0.12658227848101267</v>
      </c>
      <c r="T159" s="1">
        <v>11827</v>
      </c>
      <c r="U159" s="1">
        <v>11051</v>
      </c>
      <c r="V159" s="19">
        <f t="shared" si="35"/>
        <v>7.0219889602750885E-2</v>
      </c>
      <c r="W159" s="1">
        <v>79</v>
      </c>
      <c r="X159" s="4">
        <v>69.3</v>
      </c>
      <c r="Y159" s="19">
        <f t="shared" si="36"/>
        <v>0.13997113997114002</v>
      </c>
      <c r="Z159" s="1">
        <v>4.3</v>
      </c>
      <c r="AA159" s="17">
        <f>X159/U159</f>
        <v>6.2709257080807166E-3</v>
      </c>
      <c r="AB159" s="17">
        <f>W159/T159</f>
        <v>6.6796313519912063E-3</v>
      </c>
      <c r="AC159" s="17">
        <f t="shared" si="37"/>
        <v>6.5174690777125857E-2</v>
      </c>
      <c r="AD159" s="18">
        <f>O159/X159</f>
        <v>541.48629148629152</v>
      </c>
      <c r="AE159" s="18">
        <f>N159/W159</f>
        <v>535.12658227848101</v>
      </c>
      <c r="AF159" s="16">
        <f t="shared" si="38"/>
        <v>-1.1744912674250988E-2</v>
      </c>
      <c r="AG159">
        <f t="shared" si="39"/>
        <v>475</v>
      </c>
      <c r="AH159">
        <f t="shared" si="40"/>
        <v>475</v>
      </c>
      <c r="AI159" s="16">
        <f t="shared" si="41"/>
        <v>0</v>
      </c>
      <c r="AJ159" s="18">
        <f t="shared" si="42"/>
        <v>10.482370846368479</v>
      </c>
      <c r="AK159" s="18">
        <f t="shared" si="43"/>
        <v>10.22984345308117</v>
      </c>
      <c r="AL159" s="15">
        <f t="shared" si="44"/>
        <v>0.65900383141762453</v>
      </c>
    </row>
    <row r="160" spans="1:38" x14ac:dyDescent="0.35">
      <c r="A160" s="1" t="s">
        <v>23</v>
      </c>
      <c r="B160" s="6" t="s">
        <v>45</v>
      </c>
      <c r="C160" s="1">
        <v>19</v>
      </c>
      <c r="D160" s="1" t="s">
        <v>50</v>
      </c>
      <c r="E160" s="2">
        <v>180</v>
      </c>
      <c r="F160" s="2">
        <v>160</v>
      </c>
      <c r="G160" s="2">
        <f t="shared" si="30"/>
        <v>20</v>
      </c>
      <c r="H160" s="3">
        <f>E160*K160</f>
        <v>35640</v>
      </c>
      <c r="I160" s="3">
        <f>F160*L160</f>
        <v>31040</v>
      </c>
      <c r="J160" s="19">
        <f t="shared" si="31"/>
        <v>0.14819587628865979</v>
      </c>
      <c r="K160" s="4">
        <v>198</v>
      </c>
      <c r="L160" s="4">
        <v>194</v>
      </c>
      <c r="M160" s="19">
        <f t="shared" si="32"/>
        <v>2.0618556701030927E-2</v>
      </c>
      <c r="N160" s="3">
        <f>E160*Q160</f>
        <v>21240</v>
      </c>
      <c r="O160" s="3">
        <f>F160*R160</f>
        <v>18400</v>
      </c>
      <c r="P160" s="19">
        <f t="shared" si="33"/>
        <v>0.15434782608695652</v>
      </c>
      <c r="Q160" s="1">
        <v>118</v>
      </c>
      <c r="R160" s="1">
        <v>115</v>
      </c>
      <c r="S160" s="19">
        <f t="shared" si="34"/>
        <v>2.6086956521739129E-2</v>
      </c>
      <c r="T160" s="1">
        <v>11004</v>
      </c>
      <c r="U160" s="1">
        <v>10931</v>
      </c>
      <c r="V160" s="19">
        <f t="shared" si="35"/>
        <v>6.678254505534718E-3</v>
      </c>
      <c r="W160" s="1">
        <v>108</v>
      </c>
      <c r="X160" s="1">
        <v>110</v>
      </c>
      <c r="Y160" s="19">
        <f t="shared" si="36"/>
        <v>-1.8181818181818181E-2</v>
      </c>
      <c r="Z160" s="1">
        <v>4.2</v>
      </c>
      <c r="AA160" s="17">
        <f>X160/U160</f>
        <v>1.0063123227518067E-2</v>
      </c>
      <c r="AB160" s="17">
        <f>W160/T160</f>
        <v>9.8146128680479828E-3</v>
      </c>
      <c r="AC160" s="17">
        <f t="shared" si="37"/>
        <v>-2.4695152176068106E-2</v>
      </c>
      <c r="AD160" s="18">
        <f>O160/X160</f>
        <v>167.27272727272728</v>
      </c>
      <c r="AE160" s="18">
        <f>N160/W160</f>
        <v>196.66666666666666</v>
      </c>
      <c r="AF160" s="16">
        <f t="shared" si="38"/>
        <v>0.17572463768115931</v>
      </c>
      <c r="AG160">
        <f t="shared" si="39"/>
        <v>160</v>
      </c>
      <c r="AH160">
        <f t="shared" si="40"/>
        <v>180</v>
      </c>
      <c r="AI160" s="16">
        <f t="shared" si="41"/>
        <v>0.125</v>
      </c>
      <c r="AJ160" s="18">
        <f t="shared" si="42"/>
        <v>5.1690294438386042</v>
      </c>
      <c r="AK160" s="18">
        <f t="shared" si="43"/>
        <v>4.5229164760772118</v>
      </c>
      <c r="AL160" s="15">
        <f t="shared" si="44"/>
        <v>0.62658227848101267</v>
      </c>
    </row>
    <row r="161" spans="1:38" x14ac:dyDescent="0.35">
      <c r="A161" s="1" t="s">
        <v>23</v>
      </c>
      <c r="B161" s="6" t="s">
        <v>46</v>
      </c>
      <c r="C161" s="1">
        <v>20</v>
      </c>
      <c r="D161" s="1" t="s">
        <v>50</v>
      </c>
      <c r="E161" s="2">
        <v>475</v>
      </c>
      <c r="F161" s="2">
        <v>475</v>
      </c>
      <c r="G161" s="2">
        <f t="shared" si="30"/>
        <v>0</v>
      </c>
      <c r="H161" s="3">
        <f>E161*K161</f>
        <v>96900</v>
      </c>
      <c r="I161" s="3">
        <f>F161*L161</f>
        <v>85975</v>
      </c>
      <c r="J161" s="19">
        <f t="shared" si="31"/>
        <v>0.1270718232044199</v>
      </c>
      <c r="K161" s="4">
        <v>204</v>
      </c>
      <c r="L161" s="4">
        <v>181</v>
      </c>
      <c r="M161" s="19">
        <f t="shared" si="32"/>
        <v>0.1270718232044199</v>
      </c>
      <c r="N161" s="3">
        <f>E161*Q161</f>
        <v>15200</v>
      </c>
      <c r="O161" s="3">
        <f>F161*R161</f>
        <v>15200</v>
      </c>
      <c r="P161" s="19">
        <f t="shared" si="33"/>
        <v>0</v>
      </c>
      <c r="Q161" s="1">
        <v>32</v>
      </c>
      <c r="R161" s="1">
        <v>32</v>
      </c>
      <c r="S161" s="19">
        <f t="shared" si="34"/>
        <v>0</v>
      </c>
      <c r="T161" s="1">
        <v>8006</v>
      </c>
      <c r="U161" s="1">
        <v>8800</v>
      </c>
      <c r="V161" s="19">
        <f t="shared" si="35"/>
        <v>-9.0227272727272725E-2</v>
      </c>
      <c r="W161" s="1">
        <v>42</v>
      </c>
      <c r="X161" s="1">
        <v>27</v>
      </c>
      <c r="Y161" s="19">
        <f t="shared" si="36"/>
        <v>0.55555555555555558</v>
      </c>
      <c r="Z161" s="5">
        <v>4</v>
      </c>
      <c r="AA161" s="17">
        <f>X161/U161</f>
        <v>3.068181818181818E-3</v>
      </c>
      <c r="AB161" s="17">
        <f>W161/T161</f>
        <v>5.246065450911816E-3</v>
      </c>
      <c r="AC161" s="17">
        <f t="shared" si="37"/>
        <v>0.70982873955644388</v>
      </c>
      <c r="AD161" s="18">
        <f>O161/X161</f>
        <v>562.96296296296293</v>
      </c>
      <c r="AE161" s="18">
        <f>N161/W161</f>
        <v>361.90476190476193</v>
      </c>
      <c r="AF161" s="16">
        <f t="shared" si="38"/>
        <v>-0.3571428571428571</v>
      </c>
      <c r="AG161">
        <f t="shared" si="39"/>
        <v>475</v>
      </c>
      <c r="AH161">
        <f t="shared" si="40"/>
        <v>475</v>
      </c>
      <c r="AI161" s="16">
        <f t="shared" si="41"/>
        <v>0</v>
      </c>
      <c r="AJ161" s="18">
        <f t="shared" si="42"/>
        <v>14.001998501124158</v>
      </c>
      <c r="AK161" s="18">
        <f t="shared" si="43"/>
        <v>11.497159090909092</v>
      </c>
      <c r="AL161" s="15">
        <f t="shared" si="44"/>
        <v>0.86440677966101698</v>
      </c>
    </row>
    <row r="162" spans="1:38" x14ac:dyDescent="0.35">
      <c r="A162" s="1" t="s">
        <v>24</v>
      </c>
      <c r="B162" s="1" t="s">
        <v>16</v>
      </c>
      <c r="C162" s="1">
        <v>1</v>
      </c>
      <c r="D162" s="1" t="s">
        <v>48</v>
      </c>
      <c r="E162" s="2">
        <v>279</v>
      </c>
      <c r="F162" s="2">
        <v>249</v>
      </c>
      <c r="G162" s="2">
        <f t="shared" si="30"/>
        <v>30</v>
      </c>
      <c r="H162" s="3">
        <f>E162*K162</f>
        <v>25668</v>
      </c>
      <c r="I162" s="3">
        <f>F162*L162</f>
        <v>23157</v>
      </c>
      <c r="J162" s="19">
        <f t="shared" si="31"/>
        <v>0.10843373493975904</v>
      </c>
      <c r="K162" s="4">
        <v>92</v>
      </c>
      <c r="L162" s="4">
        <v>93</v>
      </c>
      <c r="M162" s="19">
        <f t="shared" si="32"/>
        <v>-1.0752688172043012E-2</v>
      </c>
      <c r="N162" s="3">
        <f>E162*Q162</f>
        <v>6417</v>
      </c>
      <c r="O162" s="3">
        <f>F162*R162</f>
        <v>5727</v>
      </c>
      <c r="P162" s="19">
        <f t="shared" si="33"/>
        <v>0.12048192771084337</v>
      </c>
      <c r="Q162" s="1">
        <v>23</v>
      </c>
      <c r="R162" s="1">
        <v>23</v>
      </c>
      <c r="S162" s="19">
        <f t="shared" si="34"/>
        <v>0</v>
      </c>
      <c r="T162" s="1">
        <v>5217</v>
      </c>
      <c r="U162" s="1">
        <v>4966</v>
      </c>
      <c r="V162" s="19">
        <f t="shared" si="35"/>
        <v>5.0543697140555781E-2</v>
      </c>
      <c r="W162" s="1">
        <v>30</v>
      </c>
      <c r="X162" s="1">
        <v>30</v>
      </c>
      <c r="Y162" s="19">
        <f t="shared" si="36"/>
        <v>0</v>
      </c>
      <c r="Z162" s="5">
        <v>3</v>
      </c>
      <c r="AA162" s="17">
        <f>X162/U162</f>
        <v>6.0410793395086586E-3</v>
      </c>
      <c r="AB162" s="17">
        <f>W162/T162</f>
        <v>5.7504312823461762E-3</v>
      </c>
      <c r="AC162" s="17">
        <f t="shared" si="37"/>
        <v>-4.8111941728962909E-2</v>
      </c>
      <c r="AD162" s="18">
        <f>O162/X162</f>
        <v>190.9</v>
      </c>
      <c r="AE162" s="18">
        <f>N162/W162</f>
        <v>213.9</v>
      </c>
      <c r="AF162" s="16">
        <f t="shared" si="38"/>
        <v>0.12048192771084337</v>
      </c>
      <c r="AG162">
        <f t="shared" si="39"/>
        <v>249</v>
      </c>
      <c r="AH162">
        <f t="shared" si="40"/>
        <v>279</v>
      </c>
      <c r="AI162" s="16">
        <f t="shared" si="41"/>
        <v>0.12048192771084337</v>
      </c>
      <c r="AJ162" s="18">
        <f t="shared" si="42"/>
        <v>6.1500862564692351</v>
      </c>
      <c r="AK162" s="18">
        <f t="shared" si="43"/>
        <v>5.8163511880789365</v>
      </c>
      <c r="AL162" s="15">
        <f t="shared" si="44"/>
        <v>0.8</v>
      </c>
    </row>
    <row r="163" spans="1:38" x14ac:dyDescent="0.35">
      <c r="A163" s="1" t="s">
        <v>24</v>
      </c>
      <c r="B163" s="6" t="s">
        <v>28</v>
      </c>
      <c r="C163" s="1">
        <v>2</v>
      </c>
      <c r="D163" s="1" t="s">
        <v>48</v>
      </c>
      <c r="E163" s="2">
        <v>354</v>
      </c>
      <c r="F163" s="2">
        <v>354</v>
      </c>
      <c r="G163" s="2">
        <f t="shared" si="30"/>
        <v>0</v>
      </c>
      <c r="H163" s="3">
        <f>E163*K163</f>
        <v>74340</v>
      </c>
      <c r="I163" s="3">
        <f>F163*L163</f>
        <v>76110</v>
      </c>
      <c r="J163" s="19">
        <f t="shared" si="31"/>
        <v>-2.3255813953488372E-2</v>
      </c>
      <c r="K163" s="4">
        <v>210</v>
      </c>
      <c r="L163" s="4">
        <v>215</v>
      </c>
      <c r="M163" s="19">
        <f t="shared" si="32"/>
        <v>-2.3255813953488372E-2</v>
      </c>
      <c r="N163" s="3">
        <f>E163*Q163</f>
        <v>20178</v>
      </c>
      <c r="O163" s="3">
        <f>F163*R163</f>
        <v>20178</v>
      </c>
      <c r="P163" s="19">
        <f t="shared" si="33"/>
        <v>0</v>
      </c>
      <c r="Q163" s="1">
        <v>57</v>
      </c>
      <c r="R163" s="1">
        <v>57</v>
      </c>
      <c r="S163" s="19">
        <f t="shared" si="34"/>
        <v>0</v>
      </c>
      <c r="T163" s="1">
        <v>6377</v>
      </c>
      <c r="U163" s="1">
        <v>6143</v>
      </c>
      <c r="V163" s="19">
        <f t="shared" si="35"/>
        <v>3.8092137392153669E-2</v>
      </c>
      <c r="W163" s="1">
        <v>47</v>
      </c>
      <c r="X163" s="1">
        <v>52</v>
      </c>
      <c r="Y163" s="19">
        <f t="shared" si="36"/>
        <v>-9.6153846153846159E-2</v>
      </c>
      <c r="Z163" s="5">
        <v>2.7</v>
      </c>
      <c r="AA163" s="17">
        <f>X163/U163</f>
        <v>8.4649194204785942E-3</v>
      </c>
      <c r="AB163" s="17">
        <f>W163/T163</f>
        <v>7.3702367884585229E-3</v>
      </c>
      <c r="AC163" s="17">
        <f t="shared" si="37"/>
        <v>-0.12931991170190957</v>
      </c>
      <c r="AD163" s="18">
        <f>O163/X163</f>
        <v>388.03846153846155</v>
      </c>
      <c r="AE163" s="18">
        <f>N163/W163</f>
        <v>429.31914893617022</v>
      </c>
      <c r="AF163" s="16">
        <f t="shared" si="38"/>
        <v>0.10638297872340426</v>
      </c>
      <c r="AG163">
        <f t="shared" si="39"/>
        <v>354</v>
      </c>
      <c r="AH163">
        <f t="shared" si="40"/>
        <v>354</v>
      </c>
      <c r="AI163" s="16">
        <f t="shared" si="41"/>
        <v>0</v>
      </c>
      <c r="AJ163" s="18">
        <f t="shared" si="42"/>
        <v>14.82170299513878</v>
      </c>
      <c r="AK163" s="18">
        <f t="shared" si="43"/>
        <v>15.674426176135439</v>
      </c>
      <c r="AL163" s="15">
        <f t="shared" si="44"/>
        <v>0.7865168539325843</v>
      </c>
    </row>
    <row r="164" spans="1:38" x14ac:dyDescent="0.35">
      <c r="A164" s="1" t="s">
        <v>24</v>
      </c>
      <c r="B164" s="6" t="s">
        <v>29</v>
      </c>
      <c r="C164" s="1">
        <v>3</v>
      </c>
      <c r="D164" s="1" t="s">
        <v>48</v>
      </c>
      <c r="E164" s="2">
        <v>198</v>
      </c>
      <c r="F164" s="2">
        <v>198</v>
      </c>
      <c r="G164" s="2">
        <f t="shared" si="30"/>
        <v>0</v>
      </c>
      <c r="H164" s="3">
        <f>E164*K164</f>
        <v>25344</v>
      </c>
      <c r="I164" s="3">
        <f>F164*L164</f>
        <v>25146</v>
      </c>
      <c r="J164" s="19">
        <f t="shared" si="31"/>
        <v>7.874015748031496E-3</v>
      </c>
      <c r="K164" s="4">
        <v>128</v>
      </c>
      <c r="L164" s="4">
        <v>127</v>
      </c>
      <c r="M164" s="19">
        <f t="shared" si="32"/>
        <v>7.874015748031496E-3</v>
      </c>
      <c r="N164" s="3">
        <f>E164*Q164</f>
        <v>23364</v>
      </c>
      <c r="O164" s="3">
        <f>F164*R164</f>
        <v>22176</v>
      </c>
      <c r="P164" s="19">
        <f t="shared" si="33"/>
        <v>5.3571428571428568E-2</v>
      </c>
      <c r="Q164" s="1">
        <v>118</v>
      </c>
      <c r="R164" s="1">
        <v>112</v>
      </c>
      <c r="S164" s="19">
        <f t="shared" si="34"/>
        <v>5.3571428571428568E-2</v>
      </c>
      <c r="T164" s="1">
        <v>13424</v>
      </c>
      <c r="U164" s="1">
        <v>13699</v>
      </c>
      <c r="V164" s="19">
        <f t="shared" si="35"/>
        <v>-2.0074457989634281E-2</v>
      </c>
      <c r="W164" s="1">
        <v>108</v>
      </c>
      <c r="X164" s="1">
        <v>107</v>
      </c>
      <c r="Y164" s="19">
        <f t="shared" si="36"/>
        <v>9.3457943925233638E-3</v>
      </c>
      <c r="Z164" s="5">
        <v>3.0999999999999996</v>
      </c>
      <c r="AA164" s="17">
        <f>X164/U164</f>
        <v>7.8107891086940653E-3</v>
      </c>
      <c r="AB164" s="17">
        <f>W164/T164</f>
        <v>8.045292014302742E-3</v>
      </c>
      <c r="AC164" s="17">
        <f t="shared" si="37"/>
        <v>3.0022946765731428E-2</v>
      </c>
      <c r="AD164" s="18">
        <f>O164/X164</f>
        <v>207.25233644859813</v>
      </c>
      <c r="AE164" s="18">
        <f>N164/W164</f>
        <v>216.33333333333334</v>
      </c>
      <c r="AF164" s="16">
        <f t="shared" si="38"/>
        <v>4.3816137566137621E-2</v>
      </c>
      <c r="AG164">
        <f t="shared" si="39"/>
        <v>198</v>
      </c>
      <c r="AH164">
        <f t="shared" si="40"/>
        <v>198</v>
      </c>
      <c r="AI164" s="16">
        <f t="shared" si="41"/>
        <v>0</v>
      </c>
      <c r="AJ164" s="18">
        <f t="shared" si="42"/>
        <v>3.6284266984505362</v>
      </c>
      <c r="AK164" s="18">
        <f t="shared" si="43"/>
        <v>3.4544127308562671</v>
      </c>
      <c r="AL164" s="15">
        <f t="shared" si="44"/>
        <v>0.52032520325203258</v>
      </c>
    </row>
    <row r="165" spans="1:38" x14ac:dyDescent="0.35">
      <c r="A165" s="1" t="s">
        <v>24</v>
      </c>
      <c r="B165" s="6" t="s">
        <v>30</v>
      </c>
      <c r="C165" s="1">
        <v>4</v>
      </c>
      <c r="D165" s="1" t="s">
        <v>48</v>
      </c>
      <c r="E165" s="2">
        <v>150</v>
      </c>
      <c r="F165" s="2">
        <v>149</v>
      </c>
      <c r="G165" s="2">
        <f t="shared" si="30"/>
        <v>1</v>
      </c>
      <c r="H165" s="3">
        <f>E165*K165</f>
        <v>15000</v>
      </c>
      <c r="I165" s="3">
        <f>F165*L165</f>
        <v>13261</v>
      </c>
      <c r="J165" s="19">
        <f t="shared" si="31"/>
        <v>0.13113641505165524</v>
      </c>
      <c r="K165" s="4">
        <v>100</v>
      </c>
      <c r="L165" s="4">
        <v>89</v>
      </c>
      <c r="M165" s="19">
        <f t="shared" si="32"/>
        <v>0.12359550561797752</v>
      </c>
      <c r="N165" s="3">
        <f>E165*Q165</f>
        <v>13500</v>
      </c>
      <c r="O165" s="3">
        <f>F165*R165</f>
        <v>13112</v>
      </c>
      <c r="P165" s="19">
        <f t="shared" si="33"/>
        <v>2.9591214154972543E-2</v>
      </c>
      <c r="Q165" s="1">
        <v>90</v>
      </c>
      <c r="R165" s="1">
        <v>88</v>
      </c>
      <c r="S165" s="19">
        <f t="shared" si="34"/>
        <v>2.2727272727272728E-2</v>
      </c>
      <c r="T165" s="1">
        <v>3481</v>
      </c>
      <c r="U165" s="1">
        <v>3096</v>
      </c>
      <c r="V165" s="19">
        <f t="shared" si="35"/>
        <v>0.12435400516795865</v>
      </c>
      <c r="W165" s="1">
        <v>80</v>
      </c>
      <c r="X165" s="1">
        <v>83</v>
      </c>
      <c r="Y165" s="19">
        <f t="shared" si="36"/>
        <v>-3.614457831325301E-2</v>
      </c>
      <c r="Z165" s="5">
        <v>4.2</v>
      </c>
      <c r="AA165" s="17">
        <f>X165/U165</f>
        <v>2.6808785529715762E-2</v>
      </c>
      <c r="AB165" s="17">
        <f>W165/T165</f>
        <v>2.2981901752370009E-2</v>
      </c>
      <c r="AC165" s="17">
        <f t="shared" si="37"/>
        <v>-0.1427473755983428</v>
      </c>
      <c r="AD165" s="18">
        <f>O165/X165</f>
        <v>157.97590361445782</v>
      </c>
      <c r="AE165" s="18">
        <f>N165/W165</f>
        <v>168.75</v>
      </c>
      <c r="AF165" s="16">
        <f t="shared" si="38"/>
        <v>6.8200884685784086E-2</v>
      </c>
      <c r="AG165">
        <f t="shared" si="39"/>
        <v>149</v>
      </c>
      <c r="AH165">
        <f t="shared" si="40"/>
        <v>150</v>
      </c>
      <c r="AI165" s="16">
        <f t="shared" si="41"/>
        <v>6.7114093959731542E-3</v>
      </c>
      <c r="AJ165" s="18">
        <f t="shared" si="42"/>
        <v>8.1873024992818149</v>
      </c>
      <c r="AK165" s="18">
        <f t="shared" si="43"/>
        <v>8.5184108527131777</v>
      </c>
      <c r="AL165" s="15">
        <f t="shared" si="44"/>
        <v>0.52631578947368418</v>
      </c>
    </row>
    <row r="166" spans="1:38" x14ac:dyDescent="0.35">
      <c r="A166" s="1" t="s">
        <v>24</v>
      </c>
      <c r="B166" s="6" t="s">
        <v>31</v>
      </c>
      <c r="C166" s="1">
        <v>5</v>
      </c>
      <c r="D166" s="1" t="s">
        <v>48</v>
      </c>
      <c r="E166" s="2">
        <v>506</v>
      </c>
      <c r="F166" s="2">
        <v>499.9</v>
      </c>
      <c r="G166" s="2">
        <f t="shared" si="30"/>
        <v>6.1000000000000227</v>
      </c>
      <c r="H166" s="3">
        <f>E166*K166</f>
        <v>34914</v>
      </c>
      <c r="I166" s="3">
        <f>F166*L166</f>
        <v>32493.5</v>
      </c>
      <c r="J166" s="19">
        <f t="shared" si="31"/>
        <v>7.4491821441211317E-2</v>
      </c>
      <c r="K166" s="4">
        <v>69</v>
      </c>
      <c r="L166" s="4">
        <v>65</v>
      </c>
      <c r="M166" s="19">
        <f t="shared" si="32"/>
        <v>6.1538461538461542E-2</v>
      </c>
      <c r="N166" s="3">
        <f>E166*Q166</f>
        <v>10120</v>
      </c>
      <c r="O166" s="3">
        <f>F166*R166</f>
        <v>9498.1</v>
      </c>
      <c r="P166" s="19">
        <f t="shared" si="33"/>
        <v>6.547625314536587E-2</v>
      </c>
      <c r="Q166" s="1">
        <v>20</v>
      </c>
      <c r="R166" s="1">
        <v>19</v>
      </c>
      <c r="S166" s="19">
        <f t="shared" si="34"/>
        <v>5.2631578947368418E-2</v>
      </c>
      <c r="T166" s="1">
        <v>1050</v>
      </c>
      <c r="U166" s="1">
        <v>940</v>
      </c>
      <c r="V166" s="19">
        <f t="shared" si="35"/>
        <v>0.11702127659574468</v>
      </c>
      <c r="W166" s="1">
        <v>26</v>
      </c>
      <c r="X166" s="1">
        <v>21</v>
      </c>
      <c r="Y166" s="19">
        <f t="shared" si="36"/>
        <v>0.23809523809523808</v>
      </c>
      <c r="Z166" s="5">
        <v>2.4</v>
      </c>
      <c r="AA166" s="17">
        <f>X166/U166</f>
        <v>2.2340425531914895E-2</v>
      </c>
      <c r="AB166" s="17">
        <f>W166/T166</f>
        <v>2.4761904761904763E-2</v>
      </c>
      <c r="AC166" s="17">
        <f t="shared" si="37"/>
        <v>0.10839002267573696</v>
      </c>
      <c r="AD166" s="18">
        <f>O166/X166</f>
        <v>452.29047619047623</v>
      </c>
      <c r="AE166" s="18">
        <f>N166/W166</f>
        <v>389.23076923076923</v>
      </c>
      <c r="AF166" s="16">
        <f t="shared" si="38"/>
        <v>-0.13942302630566608</v>
      </c>
      <c r="AG166">
        <f t="shared" si="39"/>
        <v>499.9</v>
      </c>
      <c r="AH166">
        <f t="shared" si="40"/>
        <v>506</v>
      </c>
      <c r="AI166" s="16">
        <f t="shared" si="41"/>
        <v>1.2202440488097665E-2</v>
      </c>
      <c r="AJ166" s="18">
        <f t="shared" si="42"/>
        <v>42.889523809523808</v>
      </c>
      <c r="AK166" s="18">
        <f t="shared" si="43"/>
        <v>44.671914893617021</v>
      </c>
      <c r="AL166" s="15">
        <f t="shared" si="44"/>
        <v>0.7752808988764045</v>
      </c>
    </row>
    <row r="167" spans="1:38" x14ac:dyDescent="0.35">
      <c r="A167" s="1" t="s">
        <v>24</v>
      </c>
      <c r="B167" s="6" t="s">
        <v>32</v>
      </c>
      <c r="C167" s="1">
        <v>6</v>
      </c>
      <c r="D167" s="1" t="s">
        <v>48</v>
      </c>
      <c r="E167" s="2">
        <v>421</v>
      </c>
      <c r="F167" s="2">
        <v>399</v>
      </c>
      <c r="G167" s="2">
        <f t="shared" si="30"/>
        <v>22</v>
      </c>
      <c r="H167" s="3">
        <f>E167*K167</f>
        <v>71149</v>
      </c>
      <c r="I167" s="3">
        <f>F167*L167</f>
        <v>67830</v>
      </c>
      <c r="J167" s="19">
        <f t="shared" si="31"/>
        <v>4.893115140793159E-2</v>
      </c>
      <c r="K167" s="4">
        <v>169</v>
      </c>
      <c r="L167" s="4">
        <v>170</v>
      </c>
      <c r="M167" s="19">
        <f t="shared" si="32"/>
        <v>-5.8823529411764705E-3</v>
      </c>
      <c r="N167" s="3">
        <f>E167*Q167</f>
        <v>49257</v>
      </c>
      <c r="O167" s="3">
        <f>F167*R167</f>
        <v>47481</v>
      </c>
      <c r="P167" s="19">
        <f t="shared" si="33"/>
        <v>3.7404435458393885E-2</v>
      </c>
      <c r="Q167" s="1">
        <v>117</v>
      </c>
      <c r="R167" s="1">
        <v>119</v>
      </c>
      <c r="S167" s="19">
        <f t="shared" si="34"/>
        <v>-1.680672268907563E-2</v>
      </c>
      <c r="T167" s="1">
        <v>7365</v>
      </c>
      <c r="U167" s="1">
        <v>8028</v>
      </c>
      <c r="V167" s="19">
        <f t="shared" si="35"/>
        <v>-8.2585949177877427E-2</v>
      </c>
      <c r="W167" s="1">
        <v>107</v>
      </c>
      <c r="X167" s="4">
        <v>115.37</v>
      </c>
      <c r="Y167" s="19">
        <f t="shared" si="36"/>
        <v>-7.2549189564011476E-2</v>
      </c>
      <c r="Z167" s="5">
        <v>2.7</v>
      </c>
      <c r="AA167" s="17">
        <f>X167/U167</f>
        <v>1.4370951669157948E-2</v>
      </c>
      <c r="AB167" s="17">
        <f>W167/T167</f>
        <v>1.4528173794976239E-2</v>
      </c>
      <c r="AC167" s="17">
        <f t="shared" si="37"/>
        <v>1.0940272393770016E-2</v>
      </c>
      <c r="AD167" s="18">
        <f>O167/X167</f>
        <v>411.55413018982404</v>
      </c>
      <c r="AE167" s="18">
        <f>N167/W167</f>
        <v>460.34579439252337</v>
      </c>
      <c r="AF167" s="16">
        <f t="shared" si="38"/>
        <v>0.11855467026948512</v>
      </c>
      <c r="AG167">
        <f t="shared" si="39"/>
        <v>399</v>
      </c>
      <c r="AH167">
        <f t="shared" si="40"/>
        <v>421</v>
      </c>
      <c r="AI167" s="16">
        <f t="shared" si="41"/>
        <v>5.5137844611528819E-2</v>
      </c>
      <c r="AJ167" s="18">
        <f t="shared" si="42"/>
        <v>16.348404616429058</v>
      </c>
      <c r="AK167" s="18">
        <f t="shared" si="43"/>
        <v>14.363602391629298</v>
      </c>
      <c r="AL167" s="15">
        <f t="shared" si="44"/>
        <v>0.59090909090909094</v>
      </c>
    </row>
    <row r="168" spans="1:38" x14ac:dyDescent="0.35">
      <c r="A168" s="1" t="s">
        <v>24</v>
      </c>
      <c r="B168" s="6" t="s">
        <v>33</v>
      </c>
      <c r="C168" s="1">
        <v>7</v>
      </c>
      <c r="D168" s="1" t="s">
        <v>48</v>
      </c>
      <c r="E168" s="2">
        <v>419</v>
      </c>
      <c r="F168" s="2">
        <v>419</v>
      </c>
      <c r="G168" s="2">
        <f t="shared" si="30"/>
        <v>0</v>
      </c>
      <c r="H168" s="3">
        <f>E168*K168</f>
        <v>63269</v>
      </c>
      <c r="I168" s="3">
        <f>F168*L168</f>
        <v>65364</v>
      </c>
      <c r="J168" s="19">
        <f t="shared" si="31"/>
        <v>-3.2051282051282048E-2</v>
      </c>
      <c r="K168" s="4">
        <v>151</v>
      </c>
      <c r="L168" s="4">
        <v>156</v>
      </c>
      <c r="M168" s="19">
        <f t="shared" si="32"/>
        <v>-3.2051282051282048E-2</v>
      </c>
      <c r="N168" s="3">
        <f>E168*Q168</f>
        <v>8380</v>
      </c>
      <c r="O168" s="3">
        <f>F168*R168</f>
        <v>7542</v>
      </c>
      <c r="P168" s="19">
        <f t="shared" si="33"/>
        <v>0.1111111111111111</v>
      </c>
      <c r="Q168" s="1">
        <v>20</v>
      </c>
      <c r="R168" s="1">
        <v>18</v>
      </c>
      <c r="S168" s="19">
        <f t="shared" si="34"/>
        <v>0.1111111111111111</v>
      </c>
      <c r="T168" s="1">
        <v>6159</v>
      </c>
      <c r="U168" s="1">
        <v>6006</v>
      </c>
      <c r="V168" s="19">
        <f t="shared" si="35"/>
        <v>2.5474525474525476E-2</v>
      </c>
      <c r="W168" s="1">
        <v>26</v>
      </c>
      <c r="X168" s="4">
        <v>26.6</v>
      </c>
      <c r="Y168" s="19">
        <f t="shared" si="36"/>
        <v>-2.255639097744366E-2</v>
      </c>
      <c r="Z168" s="5">
        <v>2.7</v>
      </c>
      <c r="AA168" s="17">
        <f>X168/U168</f>
        <v>4.4289044289044293E-3</v>
      </c>
      <c r="AB168" s="17">
        <f>W168/T168</f>
        <v>4.2214645234616007E-3</v>
      </c>
      <c r="AC168" s="17">
        <f t="shared" si="37"/>
        <v>-4.683774707103866E-2</v>
      </c>
      <c r="AD168" s="18">
        <f>O168/X168</f>
        <v>283.53383458646613</v>
      </c>
      <c r="AE168" s="18">
        <f>N168/W168</f>
        <v>322.30769230769232</v>
      </c>
      <c r="AF168" s="16">
        <f t="shared" si="38"/>
        <v>0.13675213675213696</v>
      </c>
      <c r="AG168">
        <f t="shared" si="39"/>
        <v>419</v>
      </c>
      <c r="AH168">
        <f t="shared" si="40"/>
        <v>419</v>
      </c>
      <c r="AI168" s="16">
        <f t="shared" si="41"/>
        <v>0</v>
      </c>
      <c r="AJ168" s="18">
        <f t="shared" si="42"/>
        <v>11.633219678519239</v>
      </c>
      <c r="AK168" s="18">
        <f t="shared" si="43"/>
        <v>12.138861138861138</v>
      </c>
      <c r="AL168" s="15">
        <f t="shared" si="44"/>
        <v>0.88304093567251463</v>
      </c>
    </row>
    <row r="169" spans="1:38" x14ac:dyDescent="0.35">
      <c r="A169" s="1" t="s">
        <v>24</v>
      </c>
      <c r="B169" s="6" t="s">
        <v>34</v>
      </c>
      <c r="C169" s="1">
        <v>8</v>
      </c>
      <c r="D169" s="1" t="s">
        <v>49</v>
      </c>
      <c r="E169" s="2">
        <v>175</v>
      </c>
      <c r="F169" s="2">
        <v>169.9</v>
      </c>
      <c r="G169" s="2">
        <f t="shared" si="30"/>
        <v>5.0999999999999943</v>
      </c>
      <c r="H169" s="3">
        <f>E169*K169</f>
        <v>29925</v>
      </c>
      <c r="I169" s="3">
        <f>F169*L169</f>
        <v>28033.5</v>
      </c>
      <c r="J169" s="19">
        <f t="shared" si="31"/>
        <v>6.7472844989030986E-2</v>
      </c>
      <c r="K169" s="4">
        <v>171</v>
      </c>
      <c r="L169" s="4">
        <v>165</v>
      </c>
      <c r="M169" s="19">
        <f t="shared" si="32"/>
        <v>3.6363636363636362E-2</v>
      </c>
      <c r="N169" s="3">
        <f>E169*Q169</f>
        <v>5075</v>
      </c>
      <c r="O169" s="3">
        <f>F169*R169</f>
        <v>4757.2</v>
      </c>
      <c r="P169" s="19">
        <f t="shared" si="33"/>
        <v>6.6804002354326111E-2</v>
      </c>
      <c r="Q169" s="1">
        <v>29</v>
      </c>
      <c r="R169" s="1">
        <v>28</v>
      </c>
      <c r="S169" s="19">
        <f t="shared" si="34"/>
        <v>3.5714285714285712E-2</v>
      </c>
      <c r="T169" s="1">
        <v>4572</v>
      </c>
      <c r="U169" s="1">
        <v>4398</v>
      </c>
      <c r="V169" s="19">
        <f t="shared" si="35"/>
        <v>3.9563437926330151E-2</v>
      </c>
      <c r="W169" s="1">
        <v>34</v>
      </c>
      <c r="X169" s="4">
        <v>31.68</v>
      </c>
      <c r="Y169" s="19">
        <f t="shared" si="36"/>
        <v>7.3232323232323246E-2</v>
      </c>
      <c r="Z169" s="1">
        <v>2.8</v>
      </c>
      <c r="AA169" s="17">
        <f>X169/U169</f>
        <v>7.2032742155525237E-3</v>
      </c>
      <c r="AB169" s="17">
        <f>W169/T169</f>
        <v>7.4365704286964126E-3</v>
      </c>
      <c r="AC169" s="17">
        <f t="shared" si="37"/>
        <v>3.2387523529255779E-2</v>
      </c>
      <c r="AD169" s="18">
        <f>O169/X169</f>
        <v>150.1641414141414</v>
      </c>
      <c r="AE169" s="18">
        <f>N169/W169</f>
        <v>149.26470588235293</v>
      </c>
      <c r="AF169" s="16">
        <f t="shared" si="38"/>
        <v>-5.9896825122043897E-3</v>
      </c>
      <c r="AG169">
        <f t="shared" si="39"/>
        <v>169.9</v>
      </c>
      <c r="AH169">
        <f t="shared" si="40"/>
        <v>175</v>
      </c>
      <c r="AI169" s="16">
        <f t="shared" si="41"/>
        <v>3.0017657445556175E-2</v>
      </c>
      <c r="AJ169" s="18">
        <f t="shared" si="42"/>
        <v>7.6552930883639547</v>
      </c>
      <c r="AK169" s="18">
        <f t="shared" si="43"/>
        <v>7.4558208276489308</v>
      </c>
      <c r="AL169" s="15">
        <f t="shared" si="44"/>
        <v>0.85499999999999998</v>
      </c>
    </row>
    <row r="170" spans="1:38" x14ac:dyDescent="0.35">
      <c r="A170" s="1" t="s">
        <v>24</v>
      </c>
      <c r="B170" s="6" t="s">
        <v>35</v>
      </c>
      <c r="C170" s="1">
        <v>9</v>
      </c>
      <c r="D170" s="1" t="s">
        <v>49</v>
      </c>
      <c r="E170" s="2">
        <v>139</v>
      </c>
      <c r="F170" s="2">
        <v>119</v>
      </c>
      <c r="G170" s="2">
        <f t="shared" si="30"/>
        <v>20</v>
      </c>
      <c r="H170" s="3">
        <f>E170*K170</f>
        <v>15429</v>
      </c>
      <c r="I170" s="3">
        <f>F170*L170</f>
        <v>12019</v>
      </c>
      <c r="J170" s="19">
        <f t="shared" si="31"/>
        <v>0.28371744737498961</v>
      </c>
      <c r="K170" s="4">
        <v>111</v>
      </c>
      <c r="L170" s="4">
        <v>101</v>
      </c>
      <c r="M170" s="19">
        <f t="shared" si="32"/>
        <v>9.9009900990099015E-2</v>
      </c>
      <c r="N170" s="3">
        <f>E170*Q170</f>
        <v>11259</v>
      </c>
      <c r="O170" s="3">
        <f>F170*R170</f>
        <v>9401</v>
      </c>
      <c r="P170" s="19">
        <f t="shared" si="33"/>
        <v>0.19763854909052228</v>
      </c>
      <c r="Q170" s="1">
        <v>81</v>
      </c>
      <c r="R170" s="1">
        <v>79</v>
      </c>
      <c r="S170" s="19">
        <f t="shared" si="34"/>
        <v>2.5316455696202531E-2</v>
      </c>
      <c r="T170" s="1">
        <v>11711</v>
      </c>
      <c r="U170" s="1">
        <v>11458</v>
      </c>
      <c r="V170" s="19">
        <f t="shared" si="35"/>
        <v>2.2080642345959155E-2</v>
      </c>
      <c r="W170" s="1">
        <v>71</v>
      </c>
      <c r="X170" s="4">
        <v>65.34</v>
      </c>
      <c r="Y170" s="19">
        <f t="shared" si="36"/>
        <v>8.6623813896541113E-2</v>
      </c>
      <c r="Z170" s="5">
        <v>2.2999999999999998</v>
      </c>
      <c r="AA170" s="17">
        <f>X170/U170</f>
        <v>5.7025658928259735E-3</v>
      </c>
      <c r="AB170" s="17">
        <f>W170/T170</f>
        <v>6.0626761164716929E-3</v>
      </c>
      <c r="AC170" s="17">
        <f t="shared" si="37"/>
        <v>6.3148805364748289E-2</v>
      </c>
      <c r="AD170" s="18">
        <f>O170/X170</f>
        <v>143.87817569635752</v>
      </c>
      <c r="AE170" s="18">
        <f>N170/W170</f>
        <v>158.57746478873239</v>
      </c>
      <c r="AF170" s="16">
        <f t="shared" si="38"/>
        <v>0.10216482813485522</v>
      </c>
      <c r="AG170">
        <f t="shared" si="39"/>
        <v>119</v>
      </c>
      <c r="AH170">
        <f t="shared" si="40"/>
        <v>139</v>
      </c>
      <c r="AI170" s="16">
        <f t="shared" si="41"/>
        <v>0.16806722689075632</v>
      </c>
      <c r="AJ170" s="18">
        <f t="shared" si="42"/>
        <v>2.2788831013576978</v>
      </c>
      <c r="AK170" s="18">
        <f t="shared" si="43"/>
        <v>1.8694362017804154</v>
      </c>
      <c r="AL170" s="15">
        <f t="shared" si="44"/>
        <v>0.578125</v>
      </c>
    </row>
    <row r="171" spans="1:38" x14ac:dyDescent="0.35">
      <c r="A171" s="1" t="s">
        <v>24</v>
      </c>
      <c r="B171" s="6" t="s">
        <v>36</v>
      </c>
      <c r="C171" s="1">
        <v>10</v>
      </c>
      <c r="D171" s="1" t="s">
        <v>49</v>
      </c>
      <c r="E171" s="2">
        <v>79</v>
      </c>
      <c r="F171" s="2">
        <v>79</v>
      </c>
      <c r="G171" s="2">
        <f t="shared" si="30"/>
        <v>0</v>
      </c>
      <c r="H171" s="3">
        <f>E171*K171</f>
        <v>7584</v>
      </c>
      <c r="I171" s="3">
        <f>F171*L171</f>
        <v>6794</v>
      </c>
      <c r="J171" s="19">
        <f t="shared" si="31"/>
        <v>0.11627906976744186</v>
      </c>
      <c r="K171" s="4">
        <v>96</v>
      </c>
      <c r="L171" s="4">
        <v>86</v>
      </c>
      <c r="M171" s="19">
        <f t="shared" si="32"/>
        <v>0.11627906976744186</v>
      </c>
      <c r="N171" s="3">
        <f>E171*Q171</f>
        <v>3792</v>
      </c>
      <c r="O171" s="3">
        <f>F171*R171</f>
        <v>3792</v>
      </c>
      <c r="P171" s="19">
        <f t="shared" si="33"/>
        <v>0</v>
      </c>
      <c r="Q171" s="1">
        <v>48</v>
      </c>
      <c r="R171" s="1">
        <v>48</v>
      </c>
      <c r="S171" s="19">
        <f t="shared" si="34"/>
        <v>0</v>
      </c>
      <c r="T171" s="1">
        <v>2053</v>
      </c>
      <c r="U171" s="1">
        <v>1000</v>
      </c>
      <c r="V171" s="19">
        <f t="shared" si="35"/>
        <v>1.0529999999999999</v>
      </c>
      <c r="W171" s="1">
        <v>38</v>
      </c>
      <c r="X171" s="1">
        <v>43</v>
      </c>
      <c r="Y171" s="19">
        <f t="shared" si="36"/>
        <v>-0.11627906976744186</v>
      </c>
      <c r="Z171" s="5">
        <v>2.5999999999999996</v>
      </c>
      <c r="AA171" s="17">
        <f>X171/U171</f>
        <v>4.2999999999999997E-2</v>
      </c>
      <c r="AB171" s="17">
        <f>W171/T171</f>
        <v>1.8509498295177788E-2</v>
      </c>
      <c r="AC171" s="17">
        <f t="shared" si="37"/>
        <v>-0.56954655127493514</v>
      </c>
      <c r="AD171" s="18">
        <f>O171/X171</f>
        <v>88.186046511627907</v>
      </c>
      <c r="AE171" s="18">
        <f>N171/W171</f>
        <v>99.78947368421052</v>
      </c>
      <c r="AF171" s="16">
        <f t="shared" si="38"/>
        <v>0.13157894736842099</v>
      </c>
      <c r="AG171">
        <f t="shared" si="39"/>
        <v>79</v>
      </c>
      <c r="AH171">
        <f t="shared" si="40"/>
        <v>79</v>
      </c>
      <c r="AI171" s="16">
        <f t="shared" si="41"/>
        <v>0</v>
      </c>
      <c r="AJ171" s="18">
        <f t="shared" si="42"/>
        <v>5.5411592791037503</v>
      </c>
      <c r="AK171" s="18">
        <f t="shared" si="43"/>
        <v>10.586</v>
      </c>
      <c r="AL171" s="15">
        <f t="shared" si="44"/>
        <v>0.66666666666666663</v>
      </c>
    </row>
    <row r="172" spans="1:38" x14ac:dyDescent="0.35">
      <c r="A172" s="1" t="s">
        <v>24</v>
      </c>
      <c r="B172" s="6" t="s">
        <v>37</v>
      </c>
      <c r="C172" s="1">
        <v>11</v>
      </c>
      <c r="D172" s="1" t="s">
        <v>49</v>
      </c>
      <c r="E172" s="2">
        <v>149</v>
      </c>
      <c r="F172" s="2">
        <v>149</v>
      </c>
      <c r="G172" s="2">
        <f t="shared" si="30"/>
        <v>0</v>
      </c>
      <c r="H172" s="3">
        <f>E172*K172</f>
        <v>14900</v>
      </c>
      <c r="I172" s="3">
        <f>F172*L172</f>
        <v>15347</v>
      </c>
      <c r="J172" s="19">
        <f t="shared" si="31"/>
        <v>-2.9126213592233011E-2</v>
      </c>
      <c r="K172" s="4">
        <v>100</v>
      </c>
      <c r="L172" s="4">
        <v>103</v>
      </c>
      <c r="M172" s="19">
        <f t="shared" si="32"/>
        <v>-2.9126213592233011E-2</v>
      </c>
      <c r="N172" s="3">
        <f>E172*Q172</f>
        <v>13559</v>
      </c>
      <c r="O172" s="3">
        <f>F172*R172</f>
        <v>13261</v>
      </c>
      <c r="P172" s="19">
        <f t="shared" si="33"/>
        <v>2.247191011235955E-2</v>
      </c>
      <c r="Q172" s="1">
        <v>91</v>
      </c>
      <c r="R172" s="1">
        <v>89</v>
      </c>
      <c r="S172" s="19">
        <f t="shared" si="34"/>
        <v>2.247191011235955E-2</v>
      </c>
      <c r="T172" s="1">
        <v>3230</v>
      </c>
      <c r="U172" s="1">
        <v>3324</v>
      </c>
      <c r="V172" s="19">
        <f t="shared" si="35"/>
        <v>-2.8279181708784597E-2</v>
      </c>
      <c r="W172" s="1">
        <v>81</v>
      </c>
      <c r="X172" s="4">
        <v>76.300000000000011</v>
      </c>
      <c r="Y172" s="19">
        <f t="shared" si="36"/>
        <v>6.1598951507208233E-2</v>
      </c>
      <c r="Z172" s="5">
        <v>2.2999999999999998</v>
      </c>
      <c r="AA172" s="17">
        <f>X172/U172</f>
        <v>2.2954271961492183E-2</v>
      </c>
      <c r="AB172" s="17">
        <f>W172/T172</f>
        <v>2.5077399380804954E-2</v>
      </c>
      <c r="AC172" s="17">
        <f t="shared" si="37"/>
        <v>9.2493781674910208E-2</v>
      </c>
      <c r="AD172" s="18">
        <f>O172/X172</f>
        <v>173.80078636959368</v>
      </c>
      <c r="AE172" s="18">
        <f>N172/W172</f>
        <v>167.39506172839506</v>
      </c>
      <c r="AF172" s="16">
        <f t="shared" si="38"/>
        <v>-3.6856706894159909E-2</v>
      </c>
      <c r="AG172">
        <f t="shared" si="39"/>
        <v>149</v>
      </c>
      <c r="AH172">
        <f t="shared" si="40"/>
        <v>149</v>
      </c>
      <c r="AI172" s="16">
        <f t="shared" si="41"/>
        <v>0</v>
      </c>
      <c r="AJ172" s="18">
        <f t="shared" si="42"/>
        <v>8.8108359133126939</v>
      </c>
      <c r="AK172" s="18">
        <f t="shared" si="43"/>
        <v>8.6064981949458481</v>
      </c>
      <c r="AL172" s="15">
        <f t="shared" si="44"/>
        <v>0.52356020942408377</v>
      </c>
    </row>
    <row r="173" spans="1:38" x14ac:dyDescent="0.35">
      <c r="A173" s="1" t="s">
        <v>24</v>
      </c>
      <c r="B173" s="6" t="s">
        <v>38</v>
      </c>
      <c r="C173" s="1">
        <v>12</v>
      </c>
      <c r="D173" s="1" t="s">
        <v>50</v>
      </c>
      <c r="E173" s="2">
        <v>779</v>
      </c>
      <c r="F173" s="2">
        <v>649.20000000000005</v>
      </c>
      <c r="G173" s="2">
        <f t="shared" si="30"/>
        <v>129.79999999999995</v>
      </c>
      <c r="H173" s="3">
        <f>E173*K173</f>
        <v>109839</v>
      </c>
      <c r="I173" s="3">
        <f>F173*L173</f>
        <v>92835.6</v>
      </c>
      <c r="J173" s="19">
        <f t="shared" si="31"/>
        <v>0.18315603066065167</v>
      </c>
      <c r="K173" s="4">
        <v>141</v>
      </c>
      <c r="L173" s="4">
        <v>143</v>
      </c>
      <c r="M173" s="19">
        <f t="shared" si="32"/>
        <v>-1.3986013986013986E-2</v>
      </c>
      <c r="N173" s="3">
        <f>E173*Q173</f>
        <v>45961</v>
      </c>
      <c r="O173" s="3">
        <f>F173*R173</f>
        <v>35706</v>
      </c>
      <c r="P173" s="19">
        <f t="shared" si="33"/>
        <v>0.28720663193860974</v>
      </c>
      <c r="Q173" s="1">
        <v>59</v>
      </c>
      <c r="R173" s="1">
        <v>55</v>
      </c>
      <c r="S173" s="19">
        <f t="shared" si="34"/>
        <v>7.2727272727272724E-2</v>
      </c>
      <c r="T173" s="1">
        <v>8299</v>
      </c>
      <c r="U173" s="1">
        <v>7564</v>
      </c>
      <c r="V173" s="19">
        <f t="shared" si="35"/>
        <v>9.7170809095716557E-2</v>
      </c>
      <c r="W173" s="1">
        <v>49</v>
      </c>
      <c r="X173" s="1">
        <v>50</v>
      </c>
      <c r="Y173" s="19">
        <f t="shared" si="36"/>
        <v>-0.02</v>
      </c>
      <c r="Z173" s="1">
        <v>4.4000000000000004</v>
      </c>
      <c r="AA173" s="17">
        <f>X173/U173</f>
        <v>6.610259122157589E-3</v>
      </c>
      <c r="AB173" s="17">
        <f>W173/T173</f>
        <v>5.9043258223882393E-3</v>
      </c>
      <c r="AC173" s="17">
        <f t="shared" si="37"/>
        <v>-0.10679358958910722</v>
      </c>
      <c r="AD173" s="18">
        <f>O173/X173</f>
        <v>714.12</v>
      </c>
      <c r="AE173" s="18">
        <f>N173/W173</f>
        <v>937.9795918367347</v>
      </c>
      <c r="AF173" s="16">
        <f t="shared" si="38"/>
        <v>0.31347615503939769</v>
      </c>
      <c r="AG173">
        <f t="shared" si="39"/>
        <v>649.20000000000005</v>
      </c>
      <c r="AH173">
        <f t="shared" si="40"/>
        <v>779</v>
      </c>
      <c r="AI173" s="16">
        <f t="shared" si="41"/>
        <v>0.19993838570548358</v>
      </c>
      <c r="AJ173" s="18">
        <f t="shared" si="42"/>
        <v>18.773346186287505</v>
      </c>
      <c r="AK173" s="18">
        <f t="shared" si="43"/>
        <v>16.99386567953464</v>
      </c>
      <c r="AL173" s="15">
        <f t="shared" si="44"/>
        <v>0.70499999999999996</v>
      </c>
    </row>
    <row r="174" spans="1:38" x14ac:dyDescent="0.35">
      <c r="A174" s="1" t="s">
        <v>24</v>
      </c>
      <c r="B174" s="6" t="s">
        <v>39</v>
      </c>
      <c r="C174" s="1">
        <v>13</v>
      </c>
      <c r="D174" s="1" t="s">
        <v>50</v>
      </c>
      <c r="E174" s="2">
        <v>136</v>
      </c>
      <c r="F174" s="2">
        <v>136</v>
      </c>
      <c r="G174" s="2">
        <f t="shared" si="30"/>
        <v>0</v>
      </c>
      <c r="H174" s="3">
        <f>E174*K174</f>
        <v>16592</v>
      </c>
      <c r="I174" s="3">
        <f>F174*L174</f>
        <v>17000</v>
      </c>
      <c r="J174" s="19">
        <f t="shared" si="31"/>
        <v>-2.4E-2</v>
      </c>
      <c r="K174" s="4">
        <v>122</v>
      </c>
      <c r="L174" s="4">
        <v>125</v>
      </c>
      <c r="M174" s="19">
        <f t="shared" si="32"/>
        <v>-2.4E-2</v>
      </c>
      <c r="N174" s="3">
        <f>E174*Q174</f>
        <v>11288</v>
      </c>
      <c r="O174" s="3">
        <f>F174*R174</f>
        <v>9792</v>
      </c>
      <c r="P174" s="19">
        <f t="shared" si="33"/>
        <v>0.15277777777777779</v>
      </c>
      <c r="Q174" s="1">
        <v>83</v>
      </c>
      <c r="R174" s="1">
        <v>72</v>
      </c>
      <c r="S174" s="19">
        <f t="shared" si="34"/>
        <v>0.15277777777777779</v>
      </c>
      <c r="T174" s="1">
        <v>9442</v>
      </c>
      <c r="U174" s="1">
        <v>8933</v>
      </c>
      <c r="V174" s="19">
        <f t="shared" si="35"/>
        <v>5.6979738049927238E-2</v>
      </c>
      <c r="W174" s="1">
        <v>80</v>
      </c>
      <c r="X174" s="4">
        <v>59.800000000000004</v>
      </c>
      <c r="Y174" s="19">
        <f t="shared" si="36"/>
        <v>0.33779264214046811</v>
      </c>
      <c r="Z174" s="5">
        <v>2.2999999999999998</v>
      </c>
      <c r="AA174" s="17">
        <f>X174/U174</f>
        <v>6.6942796372998995E-3</v>
      </c>
      <c r="AB174" s="17">
        <f>W174/T174</f>
        <v>8.4727811904257572E-3</v>
      </c>
      <c r="AC174" s="17">
        <f t="shared" si="37"/>
        <v>0.26567482230891781</v>
      </c>
      <c r="AD174" s="18">
        <f>O174/X174</f>
        <v>163.7458193979933</v>
      </c>
      <c r="AE174" s="18">
        <f>N174/W174</f>
        <v>141.1</v>
      </c>
      <c r="AF174" s="16">
        <f t="shared" si="38"/>
        <v>-0.13829861111111111</v>
      </c>
      <c r="AG174">
        <f t="shared" si="39"/>
        <v>136</v>
      </c>
      <c r="AH174">
        <f t="shared" si="40"/>
        <v>136</v>
      </c>
      <c r="AI174" s="16">
        <f t="shared" si="41"/>
        <v>0</v>
      </c>
      <c r="AJ174" s="18">
        <f t="shared" si="42"/>
        <v>2.9527642448633764</v>
      </c>
      <c r="AK174" s="18">
        <f t="shared" si="43"/>
        <v>2.9992163886712189</v>
      </c>
      <c r="AL174" s="15">
        <f t="shared" si="44"/>
        <v>0.59512195121951217</v>
      </c>
    </row>
    <row r="175" spans="1:38" x14ac:dyDescent="0.35">
      <c r="A175" s="1" t="s">
        <v>24</v>
      </c>
      <c r="B175" s="6" t="s">
        <v>40</v>
      </c>
      <c r="C175" s="1">
        <v>14</v>
      </c>
      <c r="D175" s="1" t="s">
        <v>50</v>
      </c>
      <c r="E175" s="2">
        <v>249</v>
      </c>
      <c r="F175" s="2">
        <v>249</v>
      </c>
      <c r="G175" s="2">
        <f t="shared" si="30"/>
        <v>0</v>
      </c>
      <c r="H175" s="3">
        <f>E175*K175</f>
        <v>50547</v>
      </c>
      <c r="I175" s="3">
        <f>F175*L175</f>
        <v>45318</v>
      </c>
      <c r="J175" s="19">
        <f t="shared" si="31"/>
        <v>0.11538461538461539</v>
      </c>
      <c r="K175" s="4">
        <v>203</v>
      </c>
      <c r="L175" s="4">
        <v>182</v>
      </c>
      <c r="M175" s="19">
        <f t="shared" si="32"/>
        <v>0.11538461538461539</v>
      </c>
      <c r="N175" s="3">
        <f>E175*Q175</f>
        <v>22908</v>
      </c>
      <c r="O175" s="3">
        <f>F175*R175</f>
        <v>23655</v>
      </c>
      <c r="P175" s="19">
        <f t="shared" si="33"/>
        <v>-3.1578947368421054E-2</v>
      </c>
      <c r="Q175" s="1">
        <v>92</v>
      </c>
      <c r="R175" s="1">
        <v>95</v>
      </c>
      <c r="S175" s="19">
        <f t="shared" si="34"/>
        <v>-3.1578947368421054E-2</v>
      </c>
      <c r="T175" s="1">
        <v>4439</v>
      </c>
      <c r="U175" s="1">
        <v>4455</v>
      </c>
      <c r="V175" s="19">
        <f t="shared" si="35"/>
        <v>-3.5914702581369248E-3</v>
      </c>
      <c r="W175" s="1">
        <v>82</v>
      </c>
      <c r="X175" s="1">
        <v>90</v>
      </c>
      <c r="Y175" s="19">
        <f t="shared" si="36"/>
        <v>-8.8888888888888892E-2</v>
      </c>
      <c r="Z175" s="1">
        <v>4.5</v>
      </c>
      <c r="AA175" s="17">
        <f>X175/U175</f>
        <v>2.0202020202020204E-2</v>
      </c>
      <c r="AB175" s="17">
        <f>W175/T175</f>
        <v>1.847262897048885E-2</v>
      </c>
      <c r="AC175" s="17">
        <f t="shared" si="37"/>
        <v>-8.5604865960801982E-2</v>
      </c>
      <c r="AD175" s="18">
        <f>O175/X175</f>
        <v>262.83333333333331</v>
      </c>
      <c r="AE175" s="18">
        <f>N175/W175</f>
        <v>279.36585365853659</v>
      </c>
      <c r="AF175" s="16">
        <f t="shared" si="38"/>
        <v>6.2901155327342861E-2</v>
      </c>
      <c r="AG175">
        <f t="shared" si="39"/>
        <v>249</v>
      </c>
      <c r="AH175">
        <f t="shared" si="40"/>
        <v>249</v>
      </c>
      <c r="AI175" s="16">
        <f t="shared" si="41"/>
        <v>0</v>
      </c>
      <c r="AJ175" s="18">
        <f t="shared" si="42"/>
        <v>16.547645866186077</v>
      </c>
      <c r="AK175" s="18">
        <f t="shared" si="43"/>
        <v>15.482154882154882</v>
      </c>
      <c r="AL175" s="15">
        <f t="shared" si="44"/>
        <v>0.68813559322033901</v>
      </c>
    </row>
    <row r="176" spans="1:38" x14ac:dyDescent="0.35">
      <c r="A176" s="1" t="s">
        <v>24</v>
      </c>
      <c r="B176" s="6" t="s">
        <v>41</v>
      </c>
      <c r="C176" s="1">
        <v>15</v>
      </c>
      <c r="D176" s="1" t="s">
        <v>50</v>
      </c>
      <c r="E176" s="2">
        <v>155</v>
      </c>
      <c r="F176" s="2">
        <v>155</v>
      </c>
      <c r="G176" s="2">
        <f t="shared" si="30"/>
        <v>0</v>
      </c>
      <c r="H176" s="3">
        <f>E176*K176</f>
        <v>18135</v>
      </c>
      <c r="I176" s="3">
        <f>F176*L176</f>
        <v>17050</v>
      </c>
      <c r="J176" s="19">
        <f t="shared" si="31"/>
        <v>6.363636363636363E-2</v>
      </c>
      <c r="K176" s="4">
        <v>117</v>
      </c>
      <c r="L176" s="4">
        <v>110</v>
      </c>
      <c r="M176" s="19">
        <f t="shared" si="32"/>
        <v>6.363636363636363E-2</v>
      </c>
      <c r="N176" s="3">
        <f>E176*Q176</f>
        <v>13950</v>
      </c>
      <c r="O176" s="3">
        <f>F176*R176</f>
        <v>13330</v>
      </c>
      <c r="P176" s="19">
        <f t="shared" si="33"/>
        <v>4.6511627906976744E-2</v>
      </c>
      <c r="Q176" s="1">
        <v>90</v>
      </c>
      <c r="R176" s="1">
        <v>86</v>
      </c>
      <c r="S176" s="19">
        <f t="shared" si="34"/>
        <v>4.6511627906976744E-2</v>
      </c>
      <c r="T176" s="1">
        <v>10084</v>
      </c>
      <c r="U176" s="1">
        <v>8713</v>
      </c>
      <c r="V176" s="19">
        <f t="shared" si="35"/>
        <v>0.15735108458625044</v>
      </c>
      <c r="W176" s="1">
        <v>80</v>
      </c>
      <c r="X176" s="4">
        <v>71.02</v>
      </c>
      <c r="Y176" s="19">
        <f t="shared" si="36"/>
        <v>0.12644325542100823</v>
      </c>
      <c r="Z176" s="5">
        <v>3.8</v>
      </c>
      <c r="AA176" s="17">
        <f>X176/U176</f>
        <v>8.1510386778377141E-3</v>
      </c>
      <c r="AB176" s="17">
        <f>W176/T176</f>
        <v>7.9333597778659254E-3</v>
      </c>
      <c r="AC176" s="17">
        <f t="shared" si="37"/>
        <v>-2.670566397429168E-2</v>
      </c>
      <c r="AD176" s="18">
        <f>O176/X176</f>
        <v>187.69360743452549</v>
      </c>
      <c r="AE176" s="18">
        <f>N176/W176</f>
        <v>174.375</v>
      </c>
      <c r="AF176" s="16">
        <f t="shared" si="38"/>
        <v>-7.0959302325581411E-2</v>
      </c>
      <c r="AG176">
        <f t="shared" si="39"/>
        <v>155</v>
      </c>
      <c r="AH176">
        <f t="shared" si="40"/>
        <v>155</v>
      </c>
      <c r="AI176" s="16">
        <f t="shared" si="41"/>
        <v>0</v>
      </c>
      <c r="AJ176" s="18">
        <f t="shared" si="42"/>
        <v>3.1817731059103531</v>
      </c>
      <c r="AK176" s="18">
        <f t="shared" si="43"/>
        <v>3.4867439458280729</v>
      </c>
      <c r="AL176" s="15">
        <f t="shared" si="44"/>
        <v>0.56521739130434778</v>
      </c>
    </row>
    <row r="177" spans="1:38" x14ac:dyDescent="0.35">
      <c r="A177" s="1" t="s">
        <v>24</v>
      </c>
      <c r="B177" s="6" t="s">
        <v>42</v>
      </c>
      <c r="C177" s="1">
        <v>16</v>
      </c>
      <c r="D177" s="1" t="s">
        <v>50</v>
      </c>
      <c r="E177" s="2">
        <v>627</v>
      </c>
      <c r="F177" s="2">
        <v>627</v>
      </c>
      <c r="G177" s="2">
        <f t="shared" si="30"/>
        <v>0</v>
      </c>
      <c r="H177" s="3">
        <f>E177*K177</f>
        <v>101574</v>
      </c>
      <c r="I177" s="3">
        <f>F177*L177</f>
        <v>90288</v>
      </c>
      <c r="J177" s="19">
        <f t="shared" si="31"/>
        <v>0.125</v>
      </c>
      <c r="K177" s="4">
        <v>162</v>
      </c>
      <c r="L177" s="4">
        <v>144</v>
      </c>
      <c r="M177" s="19">
        <f t="shared" si="32"/>
        <v>0.125</v>
      </c>
      <c r="N177" s="3">
        <f>E177*Q177</f>
        <v>47652</v>
      </c>
      <c r="O177" s="3">
        <f>F177*R177</f>
        <v>41382</v>
      </c>
      <c r="P177" s="19">
        <f t="shared" si="33"/>
        <v>0.15151515151515152</v>
      </c>
      <c r="Q177" s="1">
        <v>76</v>
      </c>
      <c r="R177" s="1">
        <v>66</v>
      </c>
      <c r="S177" s="19">
        <f t="shared" si="34"/>
        <v>0.15151515151515152</v>
      </c>
      <c r="T177" s="1">
        <v>10943</v>
      </c>
      <c r="U177" s="1">
        <v>10104</v>
      </c>
      <c r="V177" s="19">
        <f t="shared" si="35"/>
        <v>8.3036421219319076E-2</v>
      </c>
      <c r="W177" s="1">
        <v>66</v>
      </c>
      <c r="X177" s="1">
        <v>61</v>
      </c>
      <c r="Y177" s="19">
        <f t="shared" si="36"/>
        <v>8.1967213114754092E-2</v>
      </c>
      <c r="Z177" s="1">
        <v>3.8</v>
      </c>
      <c r="AA177" s="17">
        <f>X177/U177</f>
        <v>6.0372129849564525E-3</v>
      </c>
      <c r="AB177" s="17">
        <f>W177/T177</f>
        <v>6.0312528557068448E-3</v>
      </c>
      <c r="AC177" s="17">
        <f t="shared" si="37"/>
        <v>-9.872319006235461E-4</v>
      </c>
      <c r="AD177" s="18">
        <f>O177/X177</f>
        <v>678.39344262295083</v>
      </c>
      <c r="AE177" s="18">
        <f>N177/W177</f>
        <v>722</v>
      </c>
      <c r="AF177" s="16">
        <f t="shared" si="38"/>
        <v>6.4279155188246076E-2</v>
      </c>
      <c r="AG177">
        <f t="shared" si="39"/>
        <v>627</v>
      </c>
      <c r="AH177">
        <f t="shared" si="40"/>
        <v>627</v>
      </c>
      <c r="AI177" s="16">
        <f t="shared" si="41"/>
        <v>0</v>
      </c>
      <c r="AJ177" s="18">
        <f t="shared" si="42"/>
        <v>13.636662706753176</v>
      </c>
      <c r="AK177" s="18">
        <f t="shared" si="43"/>
        <v>13.031472684085511</v>
      </c>
      <c r="AL177" s="15">
        <f t="shared" si="44"/>
        <v>0.68067226890756305</v>
      </c>
    </row>
    <row r="178" spans="1:38" x14ac:dyDescent="0.35">
      <c r="A178" s="1" t="s">
        <v>24</v>
      </c>
      <c r="B178" s="6" t="s">
        <v>43</v>
      </c>
      <c r="C178" s="1">
        <v>17</v>
      </c>
      <c r="D178" s="1" t="s">
        <v>50</v>
      </c>
      <c r="E178" s="2">
        <v>179</v>
      </c>
      <c r="F178" s="2">
        <v>169</v>
      </c>
      <c r="G178" s="2">
        <f t="shared" si="30"/>
        <v>10</v>
      </c>
      <c r="H178" s="3">
        <f>E178*K178</f>
        <v>23091</v>
      </c>
      <c r="I178" s="3">
        <f>F178*L178</f>
        <v>22477</v>
      </c>
      <c r="J178" s="19">
        <f t="shared" si="31"/>
        <v>2.7316812741913957E-2</v>
      </c>
      <c r="K178" s="4">
        <v>129</v>
      </c>
      <c r="L178" s="4">
        <v>133</v>
      </c>
      <c r="M178" s="19">
        <f t="shared" si="32"/>
        <v>-3.007518796992481E-2</v>
      </c>
      <c r="N178" s="3">
        <f>E178*Q178</f>
        <v>9308</v>
      </c>
      <c r="O178" s="3">
        <f>F178*R178</f>
        <v>7943</v>
      </c>
      <c r="P178" s="19">
        <f t="shared" si="33"/>
        <v>0.1718494271685761</v>
      </c>
      <c r="Q178" s="1">
        <v>52</v>
      </c>
      <c r="R178" s="1">
        <v>47</v>
      </c>
      <c r="S178" s="19">
        <f t="shared" si="34"/>
        <v>0.10638297872340426</v>
      </c>
      <c r="T178" s="1">
        <v>4898</v>
      </c>
      <c r="U178" s="1">
        <v>4836</v>
      </c>
      <c r="V178" s="19">
        <f t="shared" si="35"/>
        <v>1.282051282051282E-2</v>
      </c>
      <c r="W178" s="1">
        <v>52</v>
      </c>
      <c r="X178" s="4">
        <v>40.200000000000003</v>
      </c>
      <c r="Y178" s="19">
        <f t="shared" si="36"/>
        <v>0.2935323383084576</v>
      </c>
      <c r="Z178" s="1">
        <v>4.0999999999999996</v>
      </c>
      <c r="AA178" s="17">
        <f>X178/U178</f>
        <v>8.3126550868486363E-3</v>
      </c>
      <c r="AB178" s="17">
        <f>W178/T178</f>
        <v>1.0616578195181707E-2</v>
      </c>
      <c r="AC178" s="17">
        <f t="shared" si="37"/>
        <v>0.27715851124126195</v>
      </c>
      <c r="AD178" s="18">
        <f>O178/X178</f>
        <v>197.5870646766169</v>
      </c>
      <c r="AE178" s="18">
        <f>N178/W178</f>
        <v>179</v>
      </c>
      <c r="AF178" s="16">
        <f t="shared" si="38"/>
        <v>-9.4070250535062266E-2</v>
      </c>
      <c r="AG178">
        <f t="shared" si="39"/>
        <v>169</v>
      </c>
      <c r="AH178">
        <f t="shared" si="40"/>
        <v>179</v>
      </c>
      <c r="AI178" s="16">
        <f t="shared" si="41"/>
        <v>5.9171597633136092E-2</v>
      </c>
      <c r="AJ178" s="18">
        <f t="shared" si="42"/>
        <v>6.614740710494079</v>
      </c>
      <c r="AK178" s="18">
        <f t="shared" si="43"/>
        <v>6.290322580645161</v>
      </c>
      <c r="AL178" s="15">
        <f t="shared" si="44"/>
        <v>0.71270718232044195</v>
      </c>
    </row>
    <row r="179" spans="1:38" x14ac:dyDescent="0.35">
      <c r="A179" s="1" t="s">
        <v>24</v>
      </c>
      <c r="B179" s="6" t="s">
        <v>44</v>
      </c>
      <c r="C179" s="1">
        <v>18</v>
      </c>
      <c r="D179" s="1" t="s">
        <v>50</v>
      </c>
      <c r="E179" s="2">
        <v>475</v>
      </c>
      <c r="F179" s="2">
        <v>475</v>
      </c>
      <c r="G179" s="2">
        <f t="shared" si="30"/>
        <v>0</v>
      </c>
      <c r="H179" s="3">
        <f>E179*K179</f>
        <v>32775</v>
      </c>
      <c r="I179" s="3">
        <f>F179*L179</f>
        <v>32300</v>
      </c>
      <c r="J179" s="19">
        <f t="shared" si="31"/>
        <v>1.4705882352941176E-2</v>
      </c>
      <c r="K179" s="4">
        <v>69</v>
      </c>
      <c r="L179" s="4">
        <v>68</v>
      </c>
      <c r="M179" s="19">
        <f t="shared" si="32"/>
        <v>1.4705882352941176E-2</v>
      </c>
      <c r="N179" s="3">
        <f>E179*Q179</f>
        <v>34675</v>
      </c>
      <c r="O179" s="3">
        <f>F179*R179</f>
        <v>35625</v>
      </c>
      <c r="P179" s="19">
        <f t="shared" si="33"/>
        <v>-2.6666666666666668E-2</v>
      </c>
      <c r="Q179" s="1">
        <v>73</v>
      </c>
      <c r="R179" s="1">
        <v>75</v>
      </c>
      <c r="S179" s="19">
        <f t="shared" si="34"/>
        <v>-2.6666666666666668E-2</v>
      </c>
      <c r="T179" s="1">
        <v>11241</v>
      </c>
      <c r="U179" s="1">
        <v>11511</v>
      </c>
      <c r="V179" s="19">
        <f t="shared" si="35"/>
        <v>-2.3455824863174355E-2</v>
      </c>
      <c r="W179" s="1">
        <v>63</v>
      </c>
      <c r="X179" s="4">
        <v>66.5</v>
      </c>
      <c r="Y179" s="19">
        <f t="shared" si="36"/>
        <v>-5.2631578947368418E-2</v>
      </c>
      <c r="Z179" s="1">
        <v>4.3</v>
      </c>
      <c r="AA179" s="17">
        <f>X179/U179</f>
        <v>5.7770827903744241E-3</v>
      </c>
      <c r="AB179" s="17">
        <f>W179/T179</f>
        <v>5.6044835868694952E-3</v>
      </c>
      <c r="AC179" s="17">
        <f t="shared" si="37"/>
        <v>-2.9876532805191529E-2</v>
      </c>
      <c r="AD179" s="18">
        <f>O179/X179</f>
        <v>535.71428571428567</v>
      </c>
      <c r="AE179" s="18">
        <f>N179/W179</f>
        <v>550.39682539682542</v>
      </c>
      <c r="AF179" s="16">
        <f t="shared" si="38"/>
        <v>2.7407407407407543E-2</v>
      </c>
      <c r="AG179">
        <f t="shared" si="39"/>
        <v>475</v>
      </c>
      <c r="AH179">
        <f t="shared" si="40"/>
        <v>475</v>
      </c>
      <c r="AI179" s="16">
        <f t="shared" si="41"/>
        <v>0</v>
      </c>
      <c r="AJ179" s="18">
        <f t="shared" si="42"/>
        <v>6.0003558402277379</v>
      </c>
      <c r="AK179" s="18">
        <f t="shared" si="43"/>
        <v>5.9008774215967339</v>
      </c>
      <c r="AL179" s="15">
        <f t="shared" si="44"/>
        <v>0.4859154929577465</v>
      </c>
    </row>
    <row r="180" spans="1:38" x14ac:dyDescent="0.35">
      <c r="A180" s="1" t="s">
        <v>24</v>
      </c>
      <c r="B180" s="6" t="s">
        <v>45</v>
      </c>
      <c r="C180" s="1">
        <v>19</v>
      </c>
      <c r="D180" s="1" t="s">
        <v>50</v>
      </c>
      <c r="E180" s="2">
        <v>180</v>
      </c>
      <c r="F180" s="2">
        <v>160</v>
      </c>
      <c r="G180" s="2">
        <f t="shared" si="30"/>
        <v>20</v>
      </c>
      <c r="H180" s="3">
        <f>E180*K180</f>
        <v>23580</v>
      </c>
      <c r="I180" s="3">
        <f>F180*L180</f>
        <v>19360</v>
      </c>
      <c r="J180" s="19">
        <f t="shared" si="31"/>
        <v>0.21797520661157024</v>
      </c>
      <c r="K180" s="4">
        <v>131</v>
      </c>
      <c r="L180" s="4">
        <v>121</v>
      </c>
      <c r="M180" s="19">
        <f t="shared" si="32"/>
        <v>8.2644628099173556E-2</v>
      </c>
      <c r="N180" s="3">
        <f>E180*Q180</f>
        <v>8280</v>
      </c>
      <c r="O180" s="3">
        <f>F180*R180</f>
        <v>7520</v>
      </c>
      <c r="P180" s="19">
        <f t="shared" si="33"/>
        <v>0.10106382978723404</v>
      </c>
      <c r="Q180" s="1">
        <v>46</v>
      </c>
      <c r="R180" s="1">
        <v>47</v>
      </c>
      <c r="S180" s="19">
        <f t="shared" si="34"/>
        <v>-2.1276595744680851E-2</v>
      </c>
      <c r="T180" s="1">
        <v>2790</v>
      </c>
      <c r="U180" s="1">
        <v>2432</v>
      </c>
      <c r="V180" s="19">
        <f t="shared" si="35"/>
        <v>0.14720394736842105</v>
      </c>
      <c r="W180" s="1">
        <v>36</v>
      </c>
      <c r="X180" s="1">
        <v>42</v>
      </c>
      <c r="Y180" s="19">
        <f t="shared" si="36"/>
        <v>-0.14285714285714285</v>
      </c>
      <c r="Z180" s="1">
        <v>4.3</v>
      </c>
      <c r="AA180" s="17">
        <f>X180/U180</f>
        <v>1.7269736842105265E-2</v>
      </c>
      <c r="AB180" s="17">
        <f>W180/T180</f>
        <v>1.2903225806451613E-2</v>
      </c>
      <c r="AC180" s="17">
        <f t="shared" si="37"/>
        <v>-0.25284178187403999</v>
      </c>
      <c r="AD180" s="18">
        <f>O180/X180</f>
        <v>179.04761904761904</v>
      </c>
      <c r="AE180" s="18">
        <f>N180/W180</f>
        <v>230</v>
      </c>
      <c r="AF180" s="16">
        <f t="shared" si="38"/>
        <v>0.28457446808510645</v>
      </c>
      <c r="AG180">
        <f t="shared" si="39"/>
        <v>160</v>
      </c>
      <c r="AH180">
        <f t="shared" si="40"/>
        <v>180</v>
      </c>
      <c r="AI180" s="16">
        <f t="shared" si="41"/>
        <v>0.125</v>
      </c>
      <c r="AJ180" s="18">
        <f t="shared" si="42"/>
        <v>11.419354838709678</v>
      </c>
      <c r="AK180" s="18">
        <f t="shared" si="43"/>
        <v>11.052631578947368</v>
      </c>
      <c r="AL180" s="15">
        <f t="shared" si="44"/>
        <v>0.74011299435028244</v>
      </c>
    </row>
    <row r="181" spans="1:38" x14ac:dyDescent="0.35">
      <c r="A181" s="1" t="s">
        <v>24</v>
      </c>
      <c r="B181" s="6" t="s">
        <v>46</v>
      </c>
      <c r="C181" s="1">
        <v>20</v>
      </c>
      <c r="D181" s="1" t="s">
        <v>50</v>
      </c>
      <c r="E181" s="2">
        <v>475</v>
      </c>
      <c r="F181" s="2">
        <v>475</v>
      </c>
      <c r="G181" s="2">
        <f t="shared" si="30"/>
        <v>0</v>
      </c>
      <c r="H181" s="3">
        <f>E181*K181</f>
        <v>71725</v>
      </c>
      <c r="I181" s="3">
        <f>F181*L181</f>
        <v>72675</v>
      </c>
      <c r="J181" s="19">
        <f t="shared" si="31"/>
        <v>-1.3071895424836602E-2</v>
      </c>
      <c r="K181" s="4">
        <v>151</v>
      </c>
      <c r="L181" s="4">
        <v>153</v>
      </c>
      <c r="M181" s="19">
        <f t="shared" si="32"/>
        <v>-1.3071895424836602E-2</v>
      </c>
      <c r="N181" s="3">
        <f>E181*Q181</f>
        <v>44175</v>
      </c>
      <c r="O181" s="3">
        <f>F181*R181</f>
        <v>39425</v>
      </c>
      <c r="P181" s="19">
        <f t="shared" si="33"/>
        <v>0.12048192771084337</v>
      </c>
      <c r="Q181" s="1">
        <v>93</v>
      </c>
      <c r="R181" s="1">
        <v>83</v>
      </c>
      <c r="S181" s="19">
        <f t="shared" si="34"/>
        <v>0.12048192771084337</v>
      </c>
      <c r="T181" s="1">
        <v>1740</v>
      </c>
      <c r="U181" s="1">
        <v>1494</v>
      </c>
      <c r="V181" s="19">
        <f t="shared" si="35"/>
        <v>0.1646586345381526</v>
      </c>
      <c r="W181" s="1">
        <v>83</v>
      </c>
      <c r="X181" s="1">
        <v>78</v>
      </c>
      <c r="Y181" s="19">
        <f t="shared" si="36"/>
        <v>6.4102564102564097E-2</v>
      </c>
      <c r="Z181" s="5">
        <v>4.2</v>
      </c>
      <c r="AA181" s="17">
        <f>X181/U181</f>
        <v>5.2208835341365459E-2</v>
      </c>
      <c r="AB181" s="17">
        <f>W181/T181</f>
        <v>4.7701149425287359E-2</v>
      </c>
      <c r="AC181" s="17">
        <f t="shared" si="37"/>
        <v>-8.6339522546418995E-2</v>
      </c>
      <c r="AD181" s="18">
        <f>O181/X181</f>
        <v>505.44871794871796</v>
      </c>
      <c r="AE181" s="18">
        <f>N181/W181</f>
        <v>532.22891566265059</v>
      </c>
      <c r="AF181" s="16">
        <f t="shared" si="38"/>
        <v>5.2983016402961207E-2</v>
      </c>
      <c r="AG181">
        <f t="shared" si="39"/>
        <v>475</v>
      </c>
      <c r="AH181">
        <f t="shared" si="40"/>
        <v>475</v>
      </c>
      <c r="AI181" s="16">
        <f t="shared" si="41"/>
        <v>0</v>
      </c>
      <c r="AJ181" s="18">
        <f t="shared" si="42"/>
        <v>66.609195402298852</v>
      </c>
      <c r="AK181" s="18">
        <f t="shared" si="43"/>
        <v>75.033467202141907</v>
      </c>
      <c r="AL181" s="15">
        <f t="shared" si="44"/>
        <v>0.61885245901639341</v>
      </c>
    </row>
    <row r="182" spans="1:38" x14ac:dyDescent="0.35">
      <c r="A182" s="1" t="s">
        <v>25</v>
      </c>
      <c r="B182" s="1" t="s">
        <v>16</v>
      </c>
      <c r="C182" s="1">
        <v>1</v>
      </c>
      <c r="D182" s="1" t="s">
        <v>48</v>
      </c>
      <c r="E182" s="2">
        <v>279</v>
      </c>
      <c r="F182" s="2">
        <v>249</v>
      </c>
      <c r="G182" s="2">
        <f t="shared" si="30"/>
        <v>30</v>
      </c>
      <c r="H182" s="3">
        <f>E182*K182</f>
        <v>31806</v>
      </c>
      <c r="I182" s="3">
        <f>F182*L182</f>
        <v>25647</v>
      </c>
      <c r="J182" s="19">
        <f t="shared" si="31"/>
        <v>0.24014504620423441</v>
      </c>
      <c r="K182" s="4">
        <v>114</v>
      </c>
      <c r="L182" s="4">
        <v>103</v>
      </c>
      <c r="M182" s="19">
        <f t="shared" si="32"/>
        <v>0.10679611650485436</v>
      </c>
      <c r="N182" s="3">
        <f>E182*Q182</f>
        <v>6975</v>
      </c>
      <c r="O182" s="3">
        <f>F182*R182</f>
        <v>5727</v>
      </c>
      <c r="P182" s="19">
        <f t="shared" si="33"/>
        <v>0.21791513881613411</v>
      </c>
      <c r="Q182" s="1">
        <v>25</v>
      </c>
      <c r="R182" s="1">
        <v>23</v>
      </c>
      <c r="S182" s="19">
        <f t="shared" si="34"/>
        <v>8.6956521739130432E-2</v>
      </c>
      <c r="T182" s="1">
        <v>7379</v>
      </c>
      <c r="U182" s="1">
        <v>6607</v>
      </c>
      <c r="V182" s="19">
        <f t="shared" si="35"/>
        <v>0.11684576963826245</v>
      </c>
      <c r="W182" s="1">
        <v>32</v>
      </c>
      <c r="X182" s="1">
        <v>31</v>
      </c>
      <c r="Y182" s="19">
        <f t="shared" si="36"/>
        <v>3.2258064516129031E-2</v>
      </c>
      <c r="Z182" s="5">
        <v>3.4000000000000004</v>
      </c>
      <c r="AA182" s="17">
        <f>X182/U182</f>
        <v>4.6919933403965488E-3</v>
      </c>
      <c r="AB182" s="17">
        <f>W182/T182</f>
        <v>4.3366309798075616E-3</v>
      </c>
      <c r="AC182" s="17">
        <f t="shared" si="37"/>
        <v>-7.5738036013272211E-2</v>
      </c>
      <c r="AD182" s="18">
        <f>O182/X182</f>
        <v>184.74193548387098</v>
      </c>
      <c r="AE182" s="18">
        <f>N182/W182</f>
        <v>217.96875</v>
      </c>
      <c r="AF182" s="16">
        <f t="shared" si="38"/>
        <v>0.17985529072812986</v>
      </c>
      <c r="AG182">
        <f t="shared" si="39"/>
        <v>249</v>
      </c>
      <c r="AH182">
        <f t="shared" si="40"/>
        <v>279</v>
      </c>
      <c r="AI182" s="16">
        <f t="shared" si="41"/>
        <v>0.12048192771084337</v>
      </c>
      <c r="AJ182" s="18">
        <f t="shared" si="42"/>
        <v>5.2555901883724081</v>
      </c>
      <c r="AK182" s="18">
        <f t="shared" si="43"/>
        <v>4.7485999697290753</v>
      </c>
      <c r="AL182" s="15">
        <f t="shared" si="44"/>
        <v>0.82014388489208634</v>
      </c>
    </row>
    <row r="183" spans="1:38" x14ac:dyDescent="0.35">
      <c r="A183" s="1" t="s">
        <v>25</v>
      </c>
      <c r="B183" s="6" t="s">
        <v>28</v>
      </c>
      <c r="C183" s="1">
        <v>2</v>
      </c>
      <c r="D183" s="1" t="s">
        <v>48</v>
      </c>
      <c r="E183" s="2">
        <v>354</v>
      </c>
      <c r="F183" s="2">
        <v>354</v>
      </c>
      <c r="G183" s="2">
        <f t="shared" si="30"/>
        <v>0</v>
      </c>
      <c r="H183" s="3">
        <f>E183*K183</f>
        <v>23364</v>
      </c>
      <c r="I183" s="3">
        <f>F183*L183</f>
        <v>21948</v>
      </c>
      <c r="J183" s="19">
        <f t="shared" si="31"/>
        <v>6.4516129032258063E-2</v>
      </c>
      <c r="K183" s="4">
        <v>66</v>
      </c>
      <c r="L183" s="4">
        <v>62</v>
      </c>
      <c r="M183" s="19">
        <f t="shared" si="32"/>
        <v>6.4516129032258063E-2</v>
      </c>
      <c r="N183" s="3">
        <f>E183*Q183</f>
        <v>29736</v>
      </c>
      <c r="O183" s="3">
        <f>F183*R183</f>
        <v>25488</v>
      </c>
      <c r="P183" s="19">
        <f t="shared" si="33"/>
        <v>0.16666666666666666</v>
      </c>
      <c r="Q183" s="1">
        <v>84</v>
      </c>
      <c r="R183" s="1">
        <v>72</v>
      </c>
      <c r="S183" s="19">
        <f t="shared" si="34"/>
        <v>0.16666666666666666</v>
      </c>
      <c r="T183" s="1">
        <v>8134</v>
      </c>
      <c r="U183" s="1">
        <v>8001</v>
      </c>
      <c r="V183" s="19">
        <f t="shared" si="35"/>
        <v>1.6622922134733157E-2</v>
      </c>
      <c r="W183" s="1">
        <v>74</v>
      </c>
      <c r="X183" s="1">
        <v>67</v>
      </c>
      <c r="Y183" s="19">
        <f t="shared" si="36"/>
        <v>0.1044776119402985</v>
      </c>
      <c r="Z183" s="5">
        <v>2.8</v>
      </c>
      <c r="AA183" s="17">
        <f>X183/U183</f>
        <v>8.3739532558430203E-3</v>
      </c>
      <c r="AB183" s="17">
        <f>W183/T183</f>
        <v>9.097614949594296E-3</v>
      </c>
      <c r="AC183" s="17">
        <f t="shared" si="37"/>
        <v>8.641816733886501E-2</v>
      </c>
      <c r="AD183" s="18">
        <f>O183/X183</f>
        <v>380.41791044776119</v>
      </c>
      <c r="AE183" s="18">
        <f>N183/W183</f>
        <v>401.83783783783781</v>
      </c>
      <c r="AF183" s="16">
        <f t="shared" si="38"/>
        <v>5.6306306306306252E-2</v>
      </c>
      <c r="AG183">
        <f t="shared" si="39"/>
        <v>354</v>
      </c>
      <c r="AH183">
        <f t="shared" si="40"/>
        <v>354</v>
      </c>
      <c r="AI183" s="16">
        <f t="shared" si="41"/>
        <v>0</v>
      </c>
      <c r="AJ183" s="18">
        <f t="shared" si="42"/>
        <v>6.5281534300467179</v>
      </c>
      <c r="AK183" s="18">
        <f t="shared" si="43"/>
        <v>5.9287589051368581</v>
      </c>
      <c r="AL183" s="15">
        <f t="shared" si="44"/>
        <v>0.44</v>
      </c>
    </row>
    <row r="184" spans="1:38" x14ac:dyDescent="0.35">
      <c r="A184" s="1" t="s">
        <v>25</v>
      </c>
      <c r="B184" s="6" t="s">
        <v>29</v>
      </c>
      <c r="C184" s="1">
        <v>3</v>
      </c>
      <c r="D184" s="1" t="s">
        <v>48</v>
      </c>
      <c r="E184" s="2">
        <v>198</v>
      </c>
      <c r="F184" s="2">
        <v>198</v>
      </c>
      <c r="G184" s="2">
        <f t="shared" si="30"/>
        <v>0</v>
      </c>
      <c r="H184" s="3">
        <f>E184*K184</f>
        <v>26730</v>
      </c>
      <c r="I184" s="3">
        <f>F184*L184</f>
        <v>25344</v>
      </c>
      <c r="J184" s="19">
        <f t="shared" si="31"/>
        <v>5.46875E-2</v>
      </c>
      <c r="K184" s="4">
        <v>135</v>
      </c>
      <c r="L184" s="4">
        <v>128</v>
      </c>
      <c r="M184" s="19">
        <f t="shared" si="32"/>
        <v>5.46875E-2</v>
      </c>
      <c r="N184" s="3">
        <f>E184*Q184</f>
        <v>6336</v>
      </c>
      <c r="O184" s="3">
        <f>F184*R184</f>
        <v>6138</v>
      </c>
      <c r="P184" s="19">
        <f t="shared" si="33"/>
        <v>3.2258064516129031E-2</v>
      </c>
      <c r="Q184" s="1">
        <v>32</v>
      </c>
      <c r="R184" s="1">
        <v>31</v>
      </c>
      <c r="S184" s="19">
        <f t="shared" si="34"/>
        <v>3.2258064516129031E-2</v>
      </c>
      <c r="T184" s="1">
        <v>7744</v>
      </c>
      <c r="U184" s="1">
        <v>6727</v>
      </c>
      <c r="V184" s="19">
        <f t="shared" si="35"/>
        <v>0.1511818046677568</v>
      </c>
      <c r="W184" s="1">
        <v>34</v>
      </c>
      <c r="X184" s="1">
        <v>26</v>
      </c>
      <c r="Y184" s="19">
        <f t="shared" si="36"/>
        <v>0.30769230769230771</v>
      </c>
      <c r="Z184" s="5">
        <v>3.0999999999999996</v>
      </c>
      <c r="AA184" s="17">
        <f>X184/U184</f>
        <v>3.8650215549279024E-3</v>
      </c>
      <c r="AB184" s="17">
        <f>W184/T184</f>
        <v>4.3904958677685952E-3</v>
      </c>
      <c r="AC184" s="17">
        <f t="shared" si="37"/>
        <v>0.13595637317228232</v>
      </c>
      <c r="AD184" s="18">
        <f>O184/X184</f>
        <v>236.07692307692307</v>
      </c>
      <c r="AE184" s="18">
        <f>N184/W184</f>
        <v>186.35294117647058</v>
      </c>
      <c r="AF184" s="16">
        <f t="shared" si="38"/>
        <v>-0.21062618595825428</v>
      </c>
      <c r="AG184">
        <f t="shared" si="39"/>
        <v>198</v>
      </c>
      <c r="AH184">
        <f t="shared" si="40"/>
        <v>198</v>
      </c>
      <c r="AI184" s="16">
        <f t="shared" si="41"/>
        <v>0</v>
      </c>
      <c r="AJ184" s="18">
        <f t="shared" si="42"/>
        <v>4.2698863636363633</v>
      </c>
      <c r="AK184" s="18">
        <f t="shared" si="43"/>
        <v>4.6799464843169316</v>
      </c>
      <c r="AL184" s="15">
        <f t="shared" si="44"/>
        <v>0.80838323353293418</v>
      </c>
    </row>
    <row r="185" spans="1:38" x14ac:dyDescent="0.35">
      <c r="A185" s="1" t="s">
        <v>25</v>
      </c>
      <c r="B185" s="6" t="s">
        <v>30</v>
      </c>
      <c r="C185" s="1">
        <v>4</v>
      </c>
      <c r="D185" s="1" t="s">
        <v>48</v>
      </c>
      <c r="E185" s="2">
        <v>150</v>
      </c>
      <c r="F185" s="2">
        <v>149</v>
      </c>
      <c r="G185" s="2">
        <f t="shared" si="30"/>
        <v>1</v>
      </c>
      <c r="H185" s="3">
        <f>E185*K185</f>
        <v>13650</v>
      </c>
      <c r="I185" s="3">
        <f>F185*L185</f>
        <v>13261</v>
      </c>
      <c r="J185" s="19">
        <f t="shared" si="31"/>
        <v>2.9334137697006258E-2</v>
      </c>
      <c r="K185" s="4">
        <v>91</v>
      </c>
      <c r="L185" s="4">
        <v>89</v>
      </c>
      <c r="M185" s="19">
        <f t="shared" si="32"/>
        <v>2.247191011235955E-2</v>
      </c>
      <c r="N185" s="3">
        <f>E185*Q185</f>
        <v>9900</v>
      </c>
      <c r="O185" s="3">
        <f>F185*R185</f>
        <v>9536</v>
      </c>
      <c r="P185" s="19">
        <f t="shared" si="33"/>
        <v>3.8171140939597316E-2</v>
      </c>
      <c r="Q185" s="1">
        <v>66</v>
      </c>
      <c r="R185" s="1">
        <v>64</v>
      </c>
      <c r="S185" s="19">
        <f t="shared" si="34"/>
        <v>3.125E-2</v>
      </c>
      <c r="T185" s="1">
        <v>13362</v>
      </c>
      <c r="U185" s="1">
        <v>12980</v>
      </c>
      <c r="V185" s="19">
        <f t="shared" si="35"/>
        <v>2.942989214175655E-2</v>
      </c>
      <c r="W185" s="1">
        <v>56</v>
      </c>
      <c r="X185" s="1">
        <v>59</v>
      </c>
      <c r="Y185" s="19">
        <f t="shared" si="36"/>
        <v>-5.0847457627118647E-2</v>
      </c>
      <c r="Z185" s="5">
        <v>4.3</v>
      </c>
      <c r="AA185" s="17">
        <f>X185/U185</f>
        <v>4.5454545454545452E-3</v>
      </c>
      <c r="AB185" s="17">
        <f>W185/T185</f>
        <v>4.1909893728483763E-3</v>
      </c>
      <c r="AC185" s="17">
        <f t="shared" si="37"/>
        <v>-7.7982337973357171E-2</v>
      </c>
      <c r="AD185" s="18">
        <f>O185/X185</f>
        <v>161.62711864406779</v>
      </c>
      <c r="AE185" s="18">
        <f>N185/W185</f>
        <v>176.78571428571428</v>
      </c>
      <c r="AF185" s="16">
        <f t="shared" si="38"/>
        <v>9.3787452061361437E-2</v>
      </c>
      <c r="AG185">
        <f t="shared" si="39"/>
        <v>149</v>
      </c>
      <c r="AH185">
        <f t="shared" si="40"/>
        <v>150</v>
      </c>
      <c r="AI185" s="16">
        <f t="shared" si="41"/>
        <v>6.7114093959731542E-3</v>
      </c>
      <c r="AJ185" s="18">
        <f t="shared" si="42"/>
        <v>1.7624607094746296</v>
      </c>
      <c r="AK185" s="18">
        <f t="shared" si="43"/>
        <v>1.7563174114021571</v>
      </c>
      <c r="AL185" s="15">
        <f t="shared" si="44"/>
        <v>0.57961783439490444</v>
      </c>
    </row>
    <row r="186" spans="1:38" x14ac:dyDescent="0.35">
      <c r="A186" s="1" t="s">
        <v>25</v>
      </c>
      <c r="B186" s="6" t="s">
        <v>31</v>
      </c>
      <c r="C186" s="1">
        <v>5</v>
      </c>
      <c r="D186" s="1" t="s">
        <v>48</v>
      </c>
      <c r="E186" s="2">
        <v>449</v>
      </c>
      <c r="F186" s="2">
        <v>499.9</v>
      </c>
      <c r="G186" s="2">
        <f t="shared" si="30"/>
        <v>-50.899999999999977</v>
      </c>
      <c r="H186" s="3">
        <f>E186*K186</f>
        <v>48492</v>
      </c>
      <c r="I186" s="3">
        <f>F186*L186</f>
        <v>49490.1</v>
      </c>
      <c r="J186" s="19">
        <f t="shared" si="31"/>
        <v>-2.0167669897615859E-2</v>
      </c>
      <c r="K186" s="4">
        <v>108</v>
      </c>
      <c r="L186" s="4">
        <v>99</v>
      </c>
      <c r="M186" s="19">
        <f t="shared" si="32"/>
        <v>9.0909090909090912E-2</v>
      </c>
      <c r="N186" s="3">
        <f>E186*Q186</f>
        <v>40859</v>
      </c>
      <c r="O186" s="3">
        <f>F186*R186</f>
        <v>42491.5</v>
      </c>
      <c r="P186" s="19">
        <f t="shared" si="33"/>
        <v>-3.8419448595601473E-2</v>
      </c>
      <c r="Q186" s="1">
        <v>91</v>
      </c>
      <c r="R186" s="1">
        <v>85</v>
      </c>
      <c r="S186" s="19">
        <f t="shared" si="34"/>
        <v>7.0588235294117646E-2</v>
      </c>
      <c r="T186" s="1">
        <v>3363</v>
      </c>
      <c r="U186" s="1">
        <v>3673</v>
      </c>
      <c r="V186" s="19">
        <f t="shared" si="35"/>
        <v>-8.4399673291587263E-2</v>
      </c>
      <c r="W186" s="1">
        <v>81</v>
      </c>
      <c r="X186" s="1">
        <v>80</v>
      </c>
      <c r="Y186" s="19">
        <f t="shared" si="36"/>
        <v>1.2500000000000001E-2</v>
      </c>
      <c r="Z186" s="5">
        <v>2.5</v>
      </c>
      <c r="AA186" s="17">
        <f>X186/U186</f>
        <v>2.1780560849441872E-2</v>
      </c>
      <c r="AB186" s="17">
        <f>W186/T186</f>
        <v>2.4085637823371989E-2</v>
      </c>
      <c r="AC186" s="17">
        <f t="shared" si="37"/>
        <v>0.10583184656556649</v>
      </c>
      <c r="AD186" s="18">
        <f>O186/X186</f>
        <v>531.14374999999995</v>
      </c>
      <c r="AE186" s="18">
        <f>N186/W186</f>
        <v>504.4320987654321</v>
      </c>
      <c r="AF186" s="16">
        <f t="shared" si="38"/>
        <v>-5.0290813427754454E-2</v>
      </c>
      <c r="AG186">
        <f t="shared" si="39"/>
        <v>499.9</v>
      </c>
      <c r="AH186">
        <f t="shared" si="40"/>
        <v>449</v>
      </c>
      <c r="AI186" s="16">
        <f t="shared" si="41"/>
        <v>-0.10182036407281453</v>
      </c>
      <c r="AJ186" s="18">
        <f t="shared" si="42"/>
        <v>26.568837347606305</v>
      </c>
      <c r="AK186" s="18">
        <f t="shared" si="43"/>
        <v>25.042635447862786</v>
      </c>
      <c r="AL186" s="15">
        <f t="shared" si="44"/>
        <v>0.542713567839196</v>
      </c>
    </row>
    <row r="187" spans="1:38" x14ac:dyDescent="0.35">
      <c r="A187" s="1" t="s">
        <v>25</v>
      </c>
      <c r="B187" s="6" t="s">
        <v>32</v>
      </c>
      <c r="C187" s="1">
        <v>6</v>
      </c>
      <c r="D187" s="1" t="s">
        <v>48</v>
      </c>
      <c r="E187" s="2">
        <v>399</v>
      </c>
      <c r="F187" s="2">
        <v>399</v>
      </c>
      <c r="G187" s="2">
        <f t="shared" si="30"/>
        <v>0</v>
      </c>
      <c r="H187" s="3">
        <f>E187*K187</f>
        <v>45087</v>
      </c>
      <c r="I187" s="3">
        <f>F187*L187</f>
        <v>44289</v>
      </c>
      <c r="J187" s="19">
        <f t="shared" si="31"/>
        <v>1.8018018018018018E-2</v>
      </c>
      <c r="K187" s="4">
        <v>113</v>
      </c>
      <c r="L187" s="4">
        <v>111</v>
      </c>
      <c r="M187" s="19">
        <f t="shared" si="32"/>
        <v>1.8018018018018018E-2</v>
      </c>
      <c r="N187" s="3">
        <f>E187*Q187</f>
        <v>28728</v>
      </c>
      <c r="O187" s="3">
        <f>F187*R187</f>
        <v>29127</v>
      </c>
      <c r="P187" s="19">
        <f t="shared" si="33"/>
        <v>-1.3698630136986301E-2</v>
      </c>
      <c r="Q187" s="1">
        <v>72</v>
      </c>
      <c r="R187" s="1">
        <v>73</v>
      </c>
      <c r="S187" s="19">
        <f t="shared" si="34"/>
        <v>-1.3698630136986301E-2</v>
      </c>
      <c r="T187" s="1">
        <v>9012</v>
      </c>
      <c r="U187" s="1">
        <v>8390</v>
      </c>
      <c r="V187" s="19">
        <f t="shared" si="35"/>
        <v>7.4135876042908222E-2</v>
      </c>
      <c r="W187" s="1">
        <v>62</v>
      </c>
      <c r="X187" s="4">
        <v>77.19</v>
      </c>
      <c r="Y187" s="19">
        <f t="shared" si="36"/>
        <v>-0.19678714859437749</v>
      </c>
      <c r="Z187" s="5">
        <v>2.8</v>
      </c>
      <c r="AA187" s="17">
        <f>X187/U187</f>
        <v>9.2002383790226461E-3</v>
      </c>
      <c r="AB187" s="17">
        <f>W187/T187</f>
        <v>6.879715934309809E-3</v>
      </c>
      <c r="AC187" s="17">
        <f t="shared" si="37"/>
        <v>-0.25222416519161422</v>
      </c>
      <c r="AD187" s="18">
        <f>O187/X187</f>
        <v>377.34162456276721</v>
      </c>
      <c r="AE187" s="18">
        <f>N187/W187</f>
        <v>463.35483870967744</v>
      </c>
      <c r="AF187" s="16">
        <f t="shared" si="38"/>
        <v>0.22794520547945207</v>
      </c>
      <c r="AG187">
        <f t="shared" si="39"/>
        <v>399</v>
      </c>
      <c r="AH187">
        <f t="shared" si="40"/>
        <v>399</v>
      </c>
      <c r="AI187" s="16">
        <f t="shared" si="41"/>
        <v>0</v>
      </c>
      <c r="AJ187" s="18">
        <f t="shared" si="42"/>
        <v>8.1907456724367513</v>
      </c>
      <c r="AK187" s="18">
        <f t="shared" si="43"/>
        <v>8.7504171632896313</v>
      </c>
      <c r="AL187" s="15">
        <f t="shared" si="44"/>
        <v>0.61081081081081079</v>
      </c>
    </row>
    <row r="188" spans="1:38" x14ac:dyDescent="0.35">
      <c r="A188" s="1" t="s">
        <v>25</v>
      </c>
      <c r="B188" s="6" t="s">
        <v>33</v>
      </c>
      <c r="C188" s="1">
        <v>7</v>
      </c>
      <c r="D188" s="1" t="s">
        <v>48</v>
      </c>
      <c r="E188" s="2">
        <v>419</v>
      </c>
      <c r="F188" s="2">
        <v>419</v>
      </c>
      <c r="G188" s="2">
        <f t="shared" si="30"/>
        <v>0</v>
      </c>
      <c r="H188" s="3">
        <f>E188*K188</f>
        <v>80029</v>
      </c>
      <c r="I188" s="3">
        <f>F188*L188</f>
        <v>77934</v>
      </c>
      <c r="J188" s="19">
        <f t="shared" si="31"/>
        <v>2.6881720430107527E-2</v>
      </c>
      <c r="K188" s="4">
        <v>191</v>
      </c>
      <c r="L188" s="4">
        <v>186</v>
      </c>
      <c r="M188" s="19">
        <f t="shared" si="32"/>
        <v>2.6881720430107527E-2</v>
      </c>
      <c r="N188" s="3">
        <f>E188*Q188</f>
        <v>39386</v>
      </c>
      <c r="O188" s="3">
        <f>F188*R188</f>
        <v>40224</v>
      </c>
      <c r="P188" s="19">
        <f t="shared" si="33"/>
        <v>-2.0833333333333332E-2</v>
      </c>
      <c r="Q188" s="1">
        <v>94</v>
      </c>
      <c r="R188" s="1">
        <v>96</v>
      </c>
      <c r="S188" s="19">
        <f t="shared" si="34"/>
        <v>-2.0833333333333332E-2</v>
      </c>
      <c r="T188" s="1">
        <v>7214</v>
      </c>
      <c r="U188" s="1">
        <v>7308</v>
      </c>
      <c r="V188" s="19">
        <f t="shared" si="35"/>
        <v>-1.2862616310892173E-2</v>
      </c>
      <c r="W188" s="1">
        <v>84</v>
      </c>
      <c r="X188" s="4">
        <v>81.2</v>
      </c>
      <c r="Y188" s="19">
        <f t="shared" si="36"/>
        <v>3.448275862068962E-2</v>
      </c>
      <c r="Z188" s="5">
        <v>4.3</v>
      </c>
      <c r="AA188" s="17">
        <f>X188/U188</f>
        <v>1.1111111111111112E-2</v>
      </c>
      <c r="AB188" s="17">
        <f>W188/T188</f>
        <v>1.1644025505960632E-2</v>
      </c>
      <c r="AC188" s="17">
        <f t="shared" si="37"/>
        <v>4.7962295536456805E-2</v>
      </c>
      <c r="AD188" s="18">
        <f>O188/X188</f>
        <v>495.3694581280788</v>
      </c>
      <c r="AE188" s="18">
        <f>N188/W188</f>
        <v>468.88095238095241</v>
      </c>
      <c r="AF188" s="16">
        <f t="shared" si="38"/>
        <v>-5.3472222222222143E-2</v>
      </c>
      <c r="AG188">
        <f t="shared" si="39"/>
        <v>419</v>
      </c>
      <c r="AH188">
        <f t="shared" si="40"/>
        <v>419</v>
      </c>
      <c r="AI188" s="16">
        <f t="shared" si="41"/>
        <v>0</v>
      </c>
      <c r="AJ188" s="18">
        <f t="shared" si="42"/>
        <v>16.553229830884391</v>
      </c>
      <c r="AK188" s="18">
        <f t="shared" si="43"/>
        <v>16.16830870279146</v>
      </c>
      <c r="AL188" s="15">
        <f t="shared" si="44"/>
        <v>0.6701754385964912</v>
      </c>
    </row>
    <row r="189" spans="1:38" x14ac:dyDescent="0.35">
      <c r="A189" s="1" t="s">
        <v>25</v>
      </c>
      <c r="B189" s="6" t="s">
        <v>34</v>
      </c>
      <c r="C189" s="1">
        <v>8</v>
      </c>
      <c r="D189" s="1" t="s">
        <v>49</v>
      </c>
      <c r="E189" s="2">
        <v>175</v>
      </c>
      <c r="F189" s="2">
        <v>169.9</v>
      </c>
      <c r="G189" s="2">
        <f t="shared" si="30"/>
        <v>5.0999999999999943</v>
      </c>
      <c r="H189" s="3">
        <f>E189*K189</f>
        <v>20825</v>
      </c>
      <c r="I189" s="3">
        <f>F189*L189</f>
        <v>20218.100000000002</v>
      </c>
      <c r="J189" s="19">
        <f t="shared" si="31"/>
        <v>3.0017657445556099E-2</v>
      </c>
      <c r="K189" s="4">
        <v>119</v>
      </c>
      <c r="L189" s="4">
        <v>119</v>
      </c>
      <c r="M189" s="19">
        <f t="shared" si="32"/>
        <v>0</v>
      </c>
      <c r="N189" s="3">
        <f>E189*Q189</f>
        <v>18025</v>
      </c>
      <c r="O189" s="3">
        <f>F189*R189</f>
        <v>16310.400000000001</v>
      </c>
      <c r="P189" s="19">
        <f t="shared" si="33"/>
        <v>0.10512311163429458</v>
      </c>
      <c r="Q189" s="1">
        <v>103</v>
      </c>
      <c r="R189" s="1">
        <v>96</v>
      </c>
      <c r="S189" s="19">
        <f t="shared" si="34"/>
        <v>7.2916666666666671E-2</v>
      </c>
      <c r="T189" s="1">
        <v>8673</v>
      </c>
      <c r="U189" s="1">
        <v>8438</v>
      </c>
      <c r="V189" s="19">
        <f t="shared" si="35"/>
        <v>2.7850201469542545E-2</v>
      </c>
      <c r="W189" s="1">
        <v>93</v>
      </c>
      <c r="X189" s="4">
        <v>76.56</v>
      </c>
      <c r="Y189" s="19">
        <f t="shared" si="36"/>
        <v>0.21473354231974917</v>
      </c>
      <c r="Z189" s="1">
        <v>4</v>
      </c>
      <c r="AA189" s="17">
        <f>X189/U189</f>
        <v>9.0732401042901163E-3</v>
      </c>
      <c r="AB189" s="17">
        <f>W189/T189</f>
        <v>1.0722933241093047E-2</v>
      </c>
      <c r="AC189" s="17">
        <f t="shared" si="37"/>
        <v>0.18181962759068873</v>
      </c>
      <c r="AD189" s="18">
        <f>O189/X189</f>
        <v>213.04075235109718</v>
      </c>
      <c r="AE189" s="18">
        <f>N189/W189</f>
        <v>193.81720430107526</v>
      </c>
      <c r="AF189" s="16">
        <f t="shared" si="38"/>
        <v>-9.0234135196541956E-2</v>
      </c>
      <c r="AG189">
        <f t="shared" si="39"/>
        <v>169.9</v>
      </c>
      <c r="AH189">
        <f t="shared" si="40"/>
        <v>175</v>
      </c>
      <c r="AI189" s="16">
        <f t="shared" si="41"/>
        <v>3.0017657445556175E-2</v>
      </c>
      <c r="AJ189" s="18">
        <f t="shared" si="42"/>
        <v>4.4794188861985473</v>
      </c>
      <c r="AK189" s="18">
        <f t="shared" si="43"/>
        <v>4.3290471675752551</v>
      </c>
      <c r="AL189" s="15">
        <f t="shared" si="44"/>
        <v>0.536036036036036</v>
      </c>
    </row>
    <row r="190" spans="1:38" x14ac:dyDescent="0.35">
      <c r="A190" s="1" t="s">
        <v>25</v>
      </c>
      <c r="B190" s="6" t="s">
        <v>35</v>
      </c>
      <c r="C190" s="1">
        <v>9</v>
      </c>
      <c r="D190" s="1" t="s">
        <v>49</v>
      </c>
      <c r="E190" s="2">
        <v>139</v>
      </c>
      <c r="F190" s="2">
        <v>119</v>
      </c>
      <c r="G190" s="2">
        <f t="shared" si="30"/>
        <v>20</v>
      </c>
      <c r="H190" s="3">
        <f>E190*K190</f>
        <v>28078</v>
      </c>
      <c r="I190" s="3">
        <f>F190*L190</f>
        <v>21896</v>
      </c>
      <c r="J190" s="19">
        <f t="shared" si="31"/>
        <v>0.28233467299963466</v>
      </c>
      <c r="K190" s="4">
        <v>202</v>
      </c>
      <c r="L190" s="4">
        <v>184</v>
      </c>
      <c r="M190" s="19">
        <f t="shared" si="32"/>
        <v>9.7826086956521743E-2</v>
      </c>
      <c r="N190" s="3">
        <f>E190*Q190</f>
        <v>9730</v>
      </c>
      <c r="O190" s="3">
        <f>F190*R190</f>
        <v>7854</v>
      </c>
      <c r="P190" s="19">
        <f t="shared" si="33"/>
        <v>0.23885918003565063</v>
      </c>
      <c r="Q190" s="1">
        <v>70</v>
      </c>
      <c r="R190" s="1">
        <v>66</v>
      </c>
      <c r="S190" s="19">
        <f t="shared" si="34"/>
        <v>6.0606060606060608E-2</v>
      </c>
      <c r="T190" s="1">
        <v>4078</v>
      </c>
      <c r="U190" s="1">
        <v>4052</v>
      </c>
      <c r="V190" s="19">
        <f t="shared" si="35"/>
        <v>6.4165844027640672E-3</v>
      </c>
      <c r="W190" s="1">
        <v>60</v>
      </c>
      <c r="X190" s="4">
        <v>56.76</v>
      </c>
      <c r="Y190" s="19">
        <f t="shared" si="36"/>
        <v>5.7082452431289676E-2</v>
      </c>
      <c r="Z190" s="5">
        <v>2.8</v>
      </c>
      <c r="AA190" s="17">
        <f>X190/U190</f>
        <v>1.4007897334649555E-2</v>
      </c>
      <c r="AB190" s="17">
        <f>W190/T190</f>
        <v>1.4713094654242276E-2</v>
      </c>
      <c r="AC190" s="17">
        <f t="shared" si="37"/>
        <v>5.0342838953307045E-2</v>
      </c>
      <c r="AD190" s="18">
        <f>O190/X190</f>
        <v>138.37209302325581</v>
      </c>
      <c r="AE190" s="18">
        <f>N190/W190</f>
        <v>162.16666666666666</v>
      </c>
      <c r="AF190" s="16">
        <f t="shared" si="38"/>
        <v>0.17196078431372541</v>
      </c>
      <c r="AG190">
        <f t="shared" si="39"/>
        <v>119</v>
      </c>
      <c r="AH190">
        <f t="shared" si="40"/>
        <v>139</v>
      </c>
      <c r="AI190" s="16">
        <f t="shared" si="41"/>
        <v>0.16806722689075632</v>
      </c>
      <c r="AJ190" s="18">
        <f t="shared" si="42"/>
        <v>9.271211378126532</v>
      </c>
      <c r="AK190" s="18">
        <f t="shared" si="43"/>
        <v>7.3420533070088849</v>
      </c>
      <c r="AL190" s="15">
        <f t="shared" si="44"/>
        <v>0.74264705882352944</v>
      </c>
    </row>
    <row r="191" spans="1:38" x14ac:dyDescent="0.35">
      <c r="A191" s="1" t="s">
        <v>25</v>
      </c>
      <c r="B191" s="6" t="s">
        <v>36</v>
      </c>
      <c r="C191" s="1">
        <v>10</v>
      </c>
      <c r="D191" s="1" t="s">
        <v>49</v>
      </c>
      <c r="E191" s="2">
        <v>79</v>
      </c>
      <c r="F191" s="2">
        <v>79</v>
      </c>
      <c r="G191" s="2">
        <f t="shared" si="30"/>
        <v>0</v>
      </c>
      <c r="H191" s="3">
        <f>E191*K191</f>
        <v>9559</v>
      </c>
      <c r="I191" s="3">
        <f>F191*L191</f>
        <v>9401</v>
      </c>
      <c r="J191" s="19">
        <f t="shared" si="31"/>
        <v>1.680672268907563E-2</v>
      </c>
      <c r="K191" s="4">
        <v>121</v>
      </c>
      <c r="L191" s="4">
        <v>119</v>
      </c>
      <c r="M191" s="19">
        <f t="shared" si="32"/>
        <v>1.680672268907563E-2</v>
      </c>
      <c r="N191" s="3">
        <f>E191*Q191</f>
        <v>1975</v>
      </c>
      <c r="O191" s="3">
        <f>F191*R191</f>
        <v>1896</v>
      </c>
      <c r="P191" s="19">
        <f t="shared" si="33"/>
        <v>4.1666666666666664E-2</v>
      </c>
      <c r="Q191" s="1">
        <v>25</v>
      </c>
      <c r="R191" s="1">
        <v>24</v>
      </c>
      <c r="S191" s="19">
        <f t="shared" si="34"/>
        <v>4.1666666666666664E-2</v>
      </c>
      <c r="T191" s="1">
        <v>10076</v>
      </c>
      <c r="U191" s="1">
        <v>10267</v>
      </c>
      <c r="V191" s="19">
        <f t="shared" si="35"/>
        <v>-1.8603292100905815E-2</v>
      </c>
      <c r="W191" s="1">
        <v>29</v>
      </c>
      <c r="X191" s="4">
        <v>30.8</v>
      </c>
      <c r="Y191" s="19">
        <f t="shared" si="36"/>
        <v>-5.8441558441558461E-2</v>
      </c>
      <c r="Z191" s="5">
        <v>2.4000000000000004</v>
      </c>
      <c r="AA191" s="17">
        <f>X191/U191</f>
        <v>2.9999026005649168E-3</v>
      </c>
      <c r="AB191" s="17">
        <f>W191/T191</f>
        <v>2.8781262405716554E-3</v>
      </c>
      <c r="AC191" s="17">
        <f t="shared" si="37"/>
        <v>-4.0593437923727757E-2</v>
      </c>
      <c r="AD191" s="18">
        <f>O191/X191</f>
        <v>61.558441558441558</v>
      </c>
      <c r="AE191" s="18">
        <f>N191/W191</f>
        <v>68.103448275862064</v>
      </c>
      <c r="AF191" s="16">
        <f t="shared" si="38"/>
        <v>0.1063218390804597</v>
      </c>
      <c r="AG191">
        <f t="shared" si="39"/>
        <v>79</v>
      </c>
      <c r="AH191">
        <f t="shared" si="40"/>
        <v>79</v>
      </c>
      <c r="AI191" s="16">
        <f t="shared" si="41"/>
        <v>0</v>
      </c>
      <c r="AJ191" s="18">
        <f t="shared" si="42"/>
        <v>1.1447002778880508</v>
      </c>
      <c r="AK191" s="18">
        <f t="shared" si="43"/>
        <v>1.1003214181357748</v>
      </c>
      <c r="AL191" s="15">
        <f t="shared" si="44"/>
        <v>0.82876712328767121</v>
      </c>
    </row>
    <row r="192" spans="1:38" x14ac:dyDescent="0.35">
      <c r="A192" s="1" t="s">
        <v>25</v>
      </c>
      <c r="B192" s="6" t="s">
        <v>37</v>
      </c>
      <c r="C192" s="1">
        <v>11</v>
      </c>
      <c r="D192" s="1" t="s">
        <v>49</v>
      </c>
      <c r="E192" s="2">
        <v>149</v>
      </c>
      <c r="F192" s="2">
        <v>149</v>
      </c>
      <c r="G192" s="2">
        <f t="shared" si="30"/>
        <v>0</v>
      </c>
      <c r="H192" s="3">
        <f>E192*K192</f>
        <v>22201</v>
      </c>
      <c r="I192" s="3">
        <f>F192*L192</f>
        <v>20562</v>
      </c>
      <c r="J192" s="19">
        <f t="shared" si="31"/>
        <v>7.9710144927536225E-2</v>
      </c>
      <c r="K192" s="4">
        <v>149</v>
      </c>
      <c r="L192" s="4">
        <v>138</v>
      </c>
      <c r="M192" s="19">
        <f t="shared" si="32"/>
        <v>7.9710144927536225E-2</v>
      </c>
      <c r="N192" s="3">
        <f>E192*Q192</f>
        <v>18625</v>
      </c>
      <c r="O192" s="3">
        <f>F192*R192</f>
        <v>16390</v>
      </c>
      <c r="P192" s="19">
        <f t="shared" si="33"/>
        <v>0.13636363636363635</v>
      </c>
      <c r="Q192" s="1">
        <v>125</v>
      </c>
      <c r="R192" s="1">
        <v>110</v>
      </c>
      <c r="S192" s="19">
        <f t="shared" si="34"/>
        <v>0.13636363636363635</v>
      </c>
      <c r="T192" s="1">
        <v>8226</v>
      </c>
      <c r="U192" s="1">
        <v>8271</v>
      </c>
      <c r="V192" s="19">
        <f t="shared" si="35"/>
        <v>-5.4406964091403701E-3</v>
      </c>
      <c r="W192" s="1">
        <v>115</v>
      </c>
      <c r="X192" s="4">
        <v>91</v>
      </c>
      <c r="Y192" s="19">
        <f t="shared" si="36"/>
        <v>0.26373626373626374</v>
      </c>
      <c r="Z192" s="5">
        <v>2.4000000000000004</v>
      </c>
      <c r="AA192" s="17">
        <f>X192/U192</f>
        <v>1.1002297182928304E-2</v>
      </c>
      <c r="AB192" s="17">
        <f>W192/T192</f>
        <v>1.3980063214198882E-2</v>
      </c>
      <c r="AC192" s="17">
        <f t="shared" si="37"/>
        <v>0.27064948180921922</v>
      </c>
      <c r="AD192" s="18">
        <f>O192/X192</f>
        <v>180.1098901098901</v>
      </c>
      <c r="AE192" s="18">
        <f>N192/W192</f>
        <v>161.95652173913044</v>
      </c>
      <c r="AF192" s="16">
        <f t="shared" si="38"/>
        <v>-0.10079051383399204</v>
      </c>
      <c r="AG192">
        <f t="shared" si="39"/>
        <v>149</v>
      </c>
      <c r="AH192">
        <f t="shared" si="40"/>
        <v>149</v>
      </c>
      <c r="AI192" s="16">
        <f t="shared" si="41"/>
        <v>0</v>
      </c>
      <c r="AJ192" s="18">
        <f t="shared" si="42"/>
        <v>4.9630440068076833</v>
      </c>
      <c r="AK192" s="18">
        <f t="shared" si="43"/>
        <v>4.4676580824567766</v>
      </c>
      <c r="AL192" s="15">
        <f t="shared" si="44"/>
        <v>0.54379562043795615</v>
      </c>
    </row>
    <row r="193" spans="1:38" x14ac:dyDescent="0.35">
      <c r="A193" s="1" t="s">
        <v>25</v>
      </c>
      <c r="B193" s="6" t="s">
        <v>38</v>
      </c>
      <c r="C193" s="1">
        <v>12</v>
      </c>
      <c r="D193" s="1" t="s">
        <v>50</v>
      </c>
      <c r="E193" s="2">
        <v>699</v>
      </c>
      <c r="F193" s="2">
        <v>649.20000000000005</v>
      </c>
      <c r="G193" s="2">
        <f t="shared" si="30"/>
        <v>49.799999999999955</v>
      </c>
      <c r="H193" s="3">
        <f>E193*K193</f>
        <v>58716</v>
      </c>
      <c r="I193" s="3">
        <f>F193*L193</f>
        <v>53883.600000000006</v>
      </c>
      <c r="J193" s="19">
        <f t="shared" si="31"/>
        <v>8.9682203861657234E-2</v>
      </c>
      <c r="K193" s="4">
        <v>84</v>
      </c>
      <c r="L193" s="4">
        <v>83</v>
      </c>
      <c r="M193" s="19">
        <f t="shared" si="32"/>
        <v>1.2048192771084338E-2</v>
      </c>
      <c r="N193" s="3">
        <f>E193*Q193</f>
        <v>36348</v>
      </c>
      <c r="O193" s="3">
        <f>F193*R193</f>
        <v>32460.000000000004</v>
      </c>
      <c r="P193" s="19">
        <f t="shared" si="33"/>
        <v>0.11977818853974109</v>
      </c>
      <c r="Q193" s="1">
        <v>52</v>
      </c>
      <c r="R193" s="1">
        <v>50</v>
      </c>
      <c r="S193" s="19">
        <f t="shared" si="34"/>
        <v>0.04</v>
      </c>
      <c r="T193" s="1">
        <v>5874</v>
      </c>
      <c r="U193" s="1">
        <v>5976</v>
      </c>
      <c r="V193" s="19">
        <f t="shared" si="35"/>
        <v>-1.7068273092369479E-2</v>
      </c>
      <c r="W193" s="1">
        <v>42</v>
      </c>
      <c r="X193" s="1">
        <v>45</v>
      </c>
      <c r="Y193" s="19">
        <f t="shared" si="36"/>
        <v>-6.6666666666666666E-2</v>
      </c>
      <c r="Z193" s="1">
        <v>4.3</v>
      </c>
      <c r="AA193" s="17">
        <f>X193/U193</f>
        <v>7.5301204819277108E-3</v>
      </c>
      <c r="AB193" s="17">
        <f>W193/T193</f>
        <v>7.1501532175689483E-3</v>
      </c>
      <c r="AC193" s="17">
        <f t="shared" si="37"/>
        <v>-5.0459652706843654E-2</v>
      </c>
      <c r="AD193" s="18">
        <f>O193/X193</f>
        <v>721.33333333333337</v>
      </c>
      <c r="AE193" s="18">
        <f>N193/W193</f>
        <v>865.42857142857144</v>
      </c>
      <c r="AF193" s="16">
        <f t="shared" si="38"/>
        <v>0.1997623448640084</v>
      </c>
      <c r="AG193">
        <f t="shared" si="39"/>
        <v>649.20000000000005</v>
      </c>
      <c r="AH193">
        <f t="shared" si="40"/>
        <v>699</v>
      </c>
      <c r="AI193" s="16">
        <f t="shared" si="41"/>
        <v>7.6709796672828026E-2</v>
      </c>
      <c r="AJ193" s="18">
        <f t="shared" si="42"/>
        <v>16.183861082737486</v>
      </c>
      <c r="AK193" s="18">
        <f t="shared" si="43"/>
        <v>14.448393574297191</v>
      </c>
      <c r="AL193" s="15">
        <f t="shared" si="44"/>
        <v>0.61764705882352944</v>
      </c>
    </row>
    <row r="194" spans="1:38" x14ac:dyDescent="0.35">
      <c r="A194" s="1" t="s">
        <v>25</v>
      </c>
      <c r="B194" s="6" t="s">
        <v>39</v>
      </c>
      <c r="C194" s="1">
        <v>13</v>
      </c>
      <c r="D194" s="1" t="s">
        <v>50</v>
      </c>
      <c r="E194" s="2">
        <v>136</v>
      </c>
      <c r="F194" s="2">
        <v>136</v>
      </c>
      <c r="G194" s="2">
        <f t="shared" si="30"/>
        <v>0</v>
      </c>
      <c r="H194" s="3">
        <f>E194*K194</f>
        <v>16456</v>
      </c>
      <c r="I194" s="3">
        <f>F194*L194</f>
        <v>16864</v>
      </c>
      <c r="J194" s="19">
        <f t="shared" si="31"/>
        <v>-2.4193548387096774E-2</v>
      </c>
      <c r="K194" s="4">
        <v>121</v>
      </c>
      <c r="L194" s="4">
        <v>124</v>
      </c>
      <c r="M194" s="19">
        <f t="shared" si="32"/>
        <v>-2.4193548387096774E-2</v>
      </c>
      <c r="N194" s="3">
        <f>E194*Q194</f>
        <v>14960</v>
      </c>
      <c r="O194" s="3">
        <f>F194*R194</f>
        <v>13736</v>
      </c>
      <c r="P194" s="19">
        <f t="shared" si="33"/>
        <v>8.9108910891089105E-2</v>
      </c>
      <c r="Q194" s="1">
        <v>110</v>
      </c>
      <c r="R194" s="1">
        <v>101</v>
      </c>
      <c r="S194" s="19">
        <f t="shared" si="34"/>
        <v>8.9108910891089105E-2</v>
      </c>
      <c r="T194" s="1">
        <v>4433</v>
      </c>
      <c r="U194" s="1">
        <v>3931</v>
      </c>
      <c r="V194" s="19">
        <f t="shared" si="35"/>
        <v>0.12770287458661919</v>
      </c>
      <c r="W194" s="1">
        <v>100</v>
      </c>
      <c r="X194" s="4">
        <v>78.650000000000006</v>
      </c>
      <c r="Y194" s="19">
        <f t="shared" si="36"/>
        <v>0.27145581691036225</v>
      </c>
      <c r="Z194" s="5">
        <v>2.4000000000000004</v>
      </c>
      <c r="AA194" s="17">
        <f>X194/U194</f>
        <v>2.0007631645891633E-2</v>
      </c>
      <c r="AB194" s="17">
        <f>W194/T194</f>
        <v>2.2558087074216106E-2</v>
      </c>
      <c r="AC194" s="17">
        <f t="shared" si="37"/>
        <v>0.12747412954537193</v>
      </c>
      <c r="AD194" s="18">
        <f>O194/X194</f>
        <v>174.64717101080737</v>
      </c>
      <c r="AE194" s="18">
        <f>N194/W194</f>
        <v>149.6</v>
      </c>
      <c r="AF194" s="16">
        <f t="shared" si="38"/>
        <v>-0.14341584158415843</v>
      </c>
      <c r="AG194">
        <f t="shared" si="39"/>
        <v>136</v>
      </c>
      <c r="AH194">
        <f t="shared" si="40"/>
        <v>136</v>
      </c>
      <c r="AI194" s="16">
        <f t="shared" si="41"/>
        <v>0</v>
      </c>
      <c r="AJ194" s="18">
        <f t="shared" si="42"/>
        <v>7.0868486352357323</v>
      </c>
      <c r="AK194" s="18">
        <f t="shared" si="43"/>
        <v>7.7842788094632409</v>
      </c>
      <c r="AL194" s="15">
        <f t="shared" si="44"/>
        <v>0.52380952380952384</v>
      </c>
    </row>
    <row r="195" spans="1:38" x14ac:dyDescent="0.35">
      <c r="A195" s="1" t="s">
        <v>25</v>
      </c>
      <c r="B195" s="6" t="s">
        <v>40</v>
      </c>
      <c r="C195" s="1">
        <v>14</v>
      </c>
      <c r="D195" s="1" t="s">
        <v>50</v>
      </c>
      <c r="E195" s="2">
        <v>249</v>
      </c>
      <c r="F195" s="2">
        <v>249</v>
      </c>
      <c r="G195" s="2">
        <f t="shared" ref="G195:G241" si="45">E195-F195</f>
        <v>0</v>
      </c>
      <c r="H195" s="3">
        <f>E195*K195</f>
        <v>16683</v>
      </c>
      <c r="I195" s="3">
        <f>F195*L195</f>
        <v>16185</v>
      </c>
      <c r="J195" s="19">
        <f t="shared" ref="J195:J241" si="46">(H195-I195)/I195</f>
        <v>3.0769230769230771E-2</v>
      </c>
      <c r="K195" s="4">
        <v>67</v>
      </c>
      <c r="L195" s="4">
        <v>65</v>
      </c>
      <c r="M195" s="19">
        <f t="shared" ref="M195:M241" si="47">(K195-L195)/L195</f>
        <v>3.0769230769230771E-2</v>
      </c>
      <c r="N195" s="3">
        <f>E195*Q195</f>
        <v>10458</v>
      </c>
      <c r="O195" s="3">
        <f>F195*R195</f>
        <v>9960</v>
      </c>
      <c r="P195" s="19">
        <f t="shared" ref="P195:P241" si="48">(N195-O195)/O195</f>
        <v>0.05</v>
      </c>
      <c r="Q195" s="1">
        <v>42</v>
      </c>
      <c r="R195" s="1">
        <v>40</v>
      </c>
      <c r="S195" s="19">
        <f t="shared" ref="S195:S241" si="49">(Q195-R195)/R195</f>
        <v>0.05</v>
      </c>
      <c r="T195" s="1">
        <v>14202</v>
      </c>
      <c r="U195" s="1">
        <v>15194</v>
      </c>
      <c r="V195" s="19">
        <f t="shared" ref="V195:V241" si="50">(T195-U195)/U195</f>
        <v>-6.5288929840726609E-2</v>
      </c>
      <c r="W195" s="1">
        <v>32</v>
      </c>
      <c r="X195" s="1">
        <v>35</v>
      </c>
      <c r="Y195" s="19">
        <f t="shared" ref="Y195:Y241" si="51">(W195-X195)/X195</f>
        <v>-8.5714285714285715E-2</v>
      </c>
      <c r="Z195" s="1">
        <v>4</v>
      </c>
      <c r="AA195" s="17">
        <f>X195/U195</f>
        <v>2.3035408713966039E-3</v>
      </c>
      <c r="AB195" s="17">
        <f>W195/T195</f>
        <v>2.2532037741163215E-3</v>
      </c>
      <c r="AC195" s="17">
        <f t="shared" ref="AC195:AC241" si="52">(AB195-AA195)/AA195</f>
        <v>-2.1852053030760342E-2</v>
      </c>
      <c r="AD195" s="18">
        <f>O195/X195</f>
        <v>284.57142857142856</v>
      </c>
      <c r="AE195" s="18">
        <f>N195/W195</f>
        <v>326.8125</v>
      </c>
      <c r="AF195" s="16">
        <f t="shared" ref="AF195:AF241" si="53">(AE195-AD195)/AD195</f>
        <v>0.14843750000000006</v>
      </c>
      <c r="AG195">
        <f t="shared" ref="AG195:AG241" si="54">I195/L195</f>
        <v>249</v>
      </c>
      <c r="AH195">
        <f t="shared" ref="AH195:AH241" si="55">H195/K195</f>
        <v>249</v>
      </c>
      <c r="AI195" s="16">
        <f t="shared" ref="AI195:AI241" si="56">(AH195-AG195)/AG195</f>
        <v>0</v>
      </c>
      <c r="AJ195" s="18">
        <f t="shared" ref="AJ195:AJ241" si="57">(H195+N195)/T195</f>
        <v>1.9110688635403463</v>
      </c>
      <c r="AK195" s="18">
        <f t="shared" ref="AK195:AK241" si="58">(O195+I195)/U195</f>
        <v>1.720745030933263</v>
      </c>
      <c r="AL195" s="15">
        <f t="shared" ref="AL195:AL241" si="59">H195/(H195+N195)</f>
        <v>0.61467889908256879</v>
      </c>
    </row>
    <row r="196" spans="1:38" x14ac:dyDescent="0.35">
      <c r="A196" s="1" t="s">
        <v>25</v>
      </c>
      <c r="B196" s="6" t="s">
        <v>41</v>
      </c>
      <c r="C196" s="1">
        <v>15</v>
      </c>
      <c r="D196" s="1" t="s">
        <v>50</v>
      </c>
      <c r="E196" s="2">
        <v>155</v>
      </c>
      <c r="F196" s="2">
        <v>155</v>
      </c>
      <c r="G196" s="2">
        <f t="shared" si="45"/>
        <v>0</v>
      </c>
      <c r="H196" s="3">
        <f>E196*K196</f>
        <v>8990</v>
      </c>
      <c r="I196" s="3">
        <f>F196*L196</f>
        <v>8370</v>
      </c>
      <c r="J196" s="19">
        <f t="shared" si="46"/>
        <v>7.407407407407407E-2</v>
      </c>
      <c r="K196" s="4">
        <v>58</v>
      </c>
      <c r="L196" s="4">
        <v>54</v>
      </c>
      <c r="M196" s="19">
        <f t="shared" si="47"/>
        <v>7.407407407407407E-2</v>
      </c>
      <c r="N196" s="3">
        <f>E196*Q196</f>
        <v>5580</v>
      </c>
      <c r="O196" s="3">
        <f>F196*R196</f>
        <v>5580</v>
      </c>
      <c r="P196" s="19">
        <f t="shared" si="48"/>
        <v>0</v>
      </c>
      <c r="Q196" s="1">
        <v>36</v>
      </c>
      <c r="R196" s="1">
        <v>36</v>
      </c>
      <c r="S196" s="19">
        <f t="shared" si="49"/>
        <v>0</v>
      </c>
      <c r="T196" s="1">
        <v>11912</v>
      </c>
      <c r="U196" s="1">
        <v>10435</v>
      </c>
      <c r="V196" s="19">
        <f t="shared" si="50"/>
        <v>0.1415428845232391</v>
      </c>
      <c r="W196" s="1">
        <v>32</v>
      </c>
      <c r="X196" s="4">
        <v>37.519999999999996</v>
      </c>
      <c r="Y196" s="19">
        <f t="shared" si="51"/>
        <v>-0.14712153518123658</v>
      </c>
      <c r="Z196" s="5">
        <v>4.3</v>
      </c>
      <c r="AA196" s="17">
        <f>X196/U196</f>
        <v>3.5955917585050309E-3</v>
      </c>
      <c r="AB196" s="17">
        <f>W196/T196</f>
        <v>2.6863666890530559E-3</v>
      </c>
      <c r="AC196" s="17">
        <f t="shared" si="52"/>
        <v>-0.25287216417194458</v>
      </c>
      <c r="AD196" s="18">
        <f>O196/X196</f>
        <v>148.72068230277188</v>
      </c>
      <c r="AE196" s="18">
        <f>N196/W196</f>
        <v>174.375</v>
      </c>
      <c r="AF196" s="16">
        <f t="shared" si="53"/>
        <v>0.17249999999999982</v>
      </c>
      <c r="AG196">
        <f t="shared" si="54"/>
        <v>155</v>
      </c>
      <c r="AH196">
        <f t="shared" si="55"/>
        <v>155</v>
      </c>
      <c r="AI196" s="16">
        <f t="shared" si="56"/>
        <v>0</v>
      </c>
      <c r="AJ196" s="18">
        <f t="shared" si="57"/>
        <v>1.2231363331094693</v>
      </c>
      <c r="AK196" s="18">
        <f t="shared" si="58"/>
        <v>1.3368471490177287</v>
      </c>
      <c r="AL196" s="15">
        <f t="shared" si="59"/>
        <v>0.61702127659574468</v>
      </c>
    </row>
    <row r="197" spans="1:38" x14ac:dyDescent="0.35">
      <c r="A197" s="1" t="s">
        <v>25</v>
      </c>
      <c r="B197" s="6" t="s">
        <v>42</v>
      </c>
      <c r="C197" s="1">
        <v>16</v>
      </c>
      <c r="D197" s="1" t="s">
        <v>50</v>
      </c>
      <c r="E197" s="2">
        <v>627</v>
      </c>
      <c r="F197" s="2">
        <v>627</v>
      </c>
      <c r="G197" s="2">
        <f t="shared" si="45"/>
        <v>0</v>
      </c>
      <c r="H197" s="3">
        <f>E197*K197</f>
        <v>107217</v>
      </c>
      <c r="I197" s="3">
        <f>F197*L197</f>
        <v>94677</v>
      </c>
      <c r="J197" s="19">
        <f t="shared" si="46"/>
        <v>0.13245033112582782</v>
      </c>
      <c r="K197" s="4">
        <v>171</v>
      </c>
      <c r="L197" s="4">
        <v>151</v>
      </c>
      <c r="M197" s="19">
        <f t="shared" si="47"/>
        <v>0.13245033112582782</v>
      </c>
      <c r="N197" s="3">
        <f>E197*Q197</f>
        <v>29469</v>
      </c>
      <c r="O197" s="3">
        <f>F197*R197</f>
        <v>26961</v>
      </c>
      <c r="P197" s="19">
        <f t="shared" si="48"/>
        <v>9.3023255813953487E-2</v>
      </c>
      <c r="Q197" s="1">
        <v>47</v>
      </c>
      <c r="R197" s="1">
        <v>43</v>
      </c>
      <c r="S197" s="19">
        <f t="shared" si="49"/>
        <v>9.3023255813953487E-2</v>
      </c>
      <c r="T197" s="1">
        <v>13016</v>
      </c>
      <c r="U197" s="1">
        <v>12259</v>
      </c>
      <c r="V197" s="19">
        <f t="shared" si="50"/>
        <v>6.1750550615874054E-2</v>
      </c>
      <c r="W197" s="1">
        <v>37</v>
      </c>
      <c r="X197" s="1">
        <v>38</v>
      </c>
      <c r="Y197" s="19">
        <f t="shared" si="51"/>
        <v>-2.6315789473684209E-2</v>
      </c>
      <c r="Z197" s="1">
        <v>4.7</v>
      </c>
      <c r="AA197" s="17">
        <f>X197/U197</f>
        <v>3.0997634391059631E-3</v>
      </c>
      <c r="AB197" s="17">
        <f>W197/T197</f>
        <v>2.8426551936078671E-3</v>
      </c>
      <c r="AC197" s="17">
        <f t="shared" si="52"/>
        <v>-8.2944473198977881E-2</v>
      </c>
      <c r="AD197" s="18">
        <f>O197/X197</f>
        <v>709.5</v>
      </c>
      <c r="AE197" s="18">
        <f>N197/W197</f>
        <v>796.45945945945948</v>
      </c>
      <c r="AF197" s="16">
        <f t="shared" si="53"/>
        <v>0.12256442489000631</v>
      </c>
      <c r="AG197">
        <f t="shared" si="54"/>
        <v>627</v>
      </c>
      <c r="AH197">
        <f t="shared" si="55"/>
        <v>627</v>
      </c>
      <c r="AI197" s="16">
        <f t="shared" si="56"/>
        <v>0</v>
      </c>
      <c r="AJ197" s="18">
        <f t="shared" si="57"/>
        <v>10.50138291333743</v>
      </c>
      <c r="AK197" s="18">
        <f t="shared" si="58"/>
        <v>9.9223427685781882</v>
      </c>
      <c r="AL197" s="15">
        <f t="shared" si="59"/>
        <v>0.7844036697247706</v>
      </c>
    </row>
    <row r="198" spans="1:38" x14ac:dyDescent="0.35">
      <c r="A198" s="1" t="s">
        <v>25</v>
      </c>
      <c r="B198" s="6" t="s">
        <v>43</v>
      </c>
      <c r="C198" s="1">
        <v>17</v>
      </c>
      <c r="D198" s="1" t="s">
        <v>50</v>
      </c>
      <c r="E198" s="2">
        <v>179</v>
      </c>
      <c r="F198" s="2">
        <v>169</v>
      </c>
      <c r="G198" s="2">
        <f t="shared" si="45"/>
        <v>10</v>
      </c>
      <c r="H198" s="3">
        <f>E198*K198</f>
        <v>22017</v>
      </c>
      <c r="I198" s="3">
        <f>F198*L198</f>
        <v>21125</v>
      </c>
      <c r="J198" s="19">
        <f t="shared" si="46"/>
        <v>4.2224852071005917E-2</v>
      </c>
      <c r="K198" s="4">
        <v>123</v>
      </c>
      <c r="L198" s="4">
        <v>125</v>
      </c>
      <c r="M198" s="19">
        <f t="shared" si="47"/>
        <v>-1.6E-2</v>
      </c>
      <c r="N198" s="3">
        <f>E198*Q198</f>
        <v>10382</v>
      </c>
      <c r="O198" s="3">
        <f>F198*R198</f>
        <v>9126</v>
      </c>
      <c r="P198" s="19">
        <f t="shared" si="48"/>
        <v>0.13762875301336841</v>
      </c>
      <c r="Q198" s="1">
        <v>58</v>
      </c>
      <c r="R198" s="1">
        <v>54</v>
      </c>
      <c r="S198" s="19">
        <f t="shared" si="49"/>
        <v>7.407407407407407E-2</v>
      </c>
      <c r="T198" s="1">
        <v>4174</v>
      </c>
      <c r="U198" s="1">
        <v>3834</v>
      </c>
      <c r="V198" s="19">
        <f t="shared" si="50"/>
        <v>8.8680229525299942E-2</v>
      </c>
      <c r="W198" s="1">
        <v>58</v>
      </c>
      <c r="X198" s="4">
        <v>44.4</v>
      </c>
      <c r="Y198" s="19">
        <f t="shared" si="51"/>
        <v>0.30630630630630634</v>
      </c>
      <c r="Z198" s="1">
        <v>4.8</v>
      </c>
      <c r="AA198" s="17">
        <f>X198/U198</f>
        <v>1.1580594679186228E-2</v>
      </c>
      <c r="AB198" s="17">
        <f>W198/T198</f>
        <v>1.3895543842836608E-2</v>
      </c>
      <c r="AC198" s="17">
        <f t="shared" si="52"/>
        <v>0.19989898859089092</v>
      </c>
      <c r="AD198" s="18">
        <f>O198/X198</f>
        <v>205.54054054054055</v>
      </c>
      <c r="AE198" s="18">
        <f>N198/W198</f>
        <v>179</v>
      </c>
      <c r="AF198" s="16">
        <f t="shared" si="53"/>
        <v>-0.12912557527942145</v>
      </c>
      <c r="AG198">
        <f t="shared" si="54"/>
        <v>169</v>
      </c>
      <c r="AH198">
        <f t="shared" si="55"/>
        <v>179</v>
      </c>
      <c r="AI198" s="16">
        <f t="shared" si="56"/>
        <v>5.9171597633136092E-2</v>
      </c>
      <c r="AJ198" s="18">
        <f t="shared" si="57"/>
        <v>7.7620987062769524</v>
      </c>
      <c r="AK198" s="18">
        <f t="shared" si="58"/>
        <v>7.8901930099113198</v>
      </c>
      <c r="AL198" s="15">
        <f t="shared" si="59"/>
        <v>0.6795580110497238</v>
      </c>
    </row>
    <row r="199" spans="1:38" x14ac:dyDescent="0.35">
      <c r="A199" s="1" t="s">
        <v>25</v>
      </c>
      <c r="B199" s="6" t="s">
        <v>44</v>
      </c>
      <c r="C199" s="1">
        <v>18</v>
      </c>
      <c r="D199" s="1" t="s">
        <v>50</v>
      </c>
      <c r="E199" s="2">
        <v>475</v>
      </c>
      <c r="F199" s="2">
        <v>475</v>
      </c>
      <c r="G199" s="2">
        <f t="shared" si="45"/>
        <v>0</v>
      </c>
      <c r="H199" s="3">
        <f>E199*K199</f>
        <v>85500</v>
      </c>
      <c r="I199" s="3">
        <f>F199*L199</f>
        <v>78850</v>
      </c>
      <c r="J199" s="19">
        <f t="shared" si="46"/>
        <v>8.4337349397590355E-2</v>
      </c>
      <c r="K199" s="4">
        <v>180</v>
      </c>
      <c r="L199" s="4">
        <v>166</v>
      </c>
      <c r="M199" s="19">
        <f t="shared" si="47"/>
        <v>8.4337349397590355E-2</v>
      </c>
      <c r="N199" s="3">
        <f>E199*Q199</f>
        <v>42275</v>
      </c>
      <c r="O199" s="3">
        <f>F199*R199</f>
        <v>37525</v>
      </c>
      <c r="P199" s="19">
        <f t="shared" si="48"/>
        <v>0.12658227848101267</v>
      </c>
      <c r="Q199" s="1">
        <v>89</v>
      </c>
      <c r="R199" s="1">
        <v>79</v>
      </c>
      <c r="S199" s="19">
        <f t="shared" si="49"/>
        <v>0.12658227848101267</v>
      </c>
      <c r="T199" s="1">
        <v>10594</v>
      </c>
      <c r="U199" s="1">
        <v>11194</v>
      </c>
      <c r="V199" s="19">
        <f t="shared" si="50"/>
        <v>-5.3600142933714491E-2</v>
      </c>
      <c r="W199" s="1">
        <v>79</v>
      </c>
      <c r="X199" s="4">
        <v>69.3</v>
      </c>
      <c r="Y199" s="19">
        <f t="shared" si="51"/>
        <v>0.13997113997114002</v>
      </c>
      <c r="Z199" s="1">
        <v>4.3</v>
      </c>
      <c r="AA199" s="17">
        <f>X199/U199</f>
        <v>6.1908165088440234E-3</v>
      </c>
      <c r="AB199" s="17">
        <f>W199/T199</f>
        <v>7.4570511610345478E-3</v>
      </c>
      <c r="AC199" s="17">
        <f t="shared" si="52"/>
        <v>0.20453435348659063</v>
      </c>
      <c r="AD199" s="18">
        <f>O199/X199</f>
        <v>541.48629148629152</v>
      </c>
      <c r="AE199" s="18">
        <f>N199/W199</f>
        <v>535.12658227848101</v>
      </c>
      <c r="AF199" s="16">
        <f t="shared" si="53"/>
        <v>-1.1744912674250988E-2</v>
      </c>
      <c r="AG199">
        <f t="shared" si="54"/>
        <v>475</v>
      </c>
      <c r="AH199">
        <f t="shared" si="55"/>
        <v>475</v>
      </c>
      <c r="AI199" s="16">
        <f t="shared" si="56"/>
        <v>0</v>
      </c>
      <c r="AJ199" s="18">
        <f t="shared" si="57"/>
        <v>12.061072305078346</v>
      </c>
      <c r="AK199" s="18">
        <f t="shared" si="58"/>
        <v>10.396194389851706</v>
      </c>
      <c r="AL199" s="15">
        <f t="shared" si="59"/>
        <v>0.66914498141263945</v>
      </c>
    </row>
    <row r="200" spans="1:38" x14ac:dyDescent="0.35">
      <c r="A200" s="1" t="s">
        <v>25</v>
      </c>
      <c r="B200" s="6" t="s">
        <v>45</v>
      </c>
      <c r="C200" s="1">
        <v>19</v>
      </c>
      <c r="D200" s="1" t="s">
        <v>50</v>
      </c>
      <c r="E200" s="2">
        <v>180</v>
      </c>
      <c r="F200" s="2">
        <v>160</v>
      </c>
      <c r="G200" s="2">
        <f t="shared" si="45"/>
        <v>20</v>
      </c>
      <c r="H200" s="3">
        <f>E200*K200</f>
        <v>21780</v>
      </c>
      <c r="I200" s="3">
        <f>F200*L200</f>
        <v>18880</v>
      </c>
      <c r="J200" s="19">
        <f t="shared" si="46"/>
        <v>0.15360169491525424</v>
      </c>
      <c r="K200" s="4">
        <v>121</v>
      </c>
      <c r="L200" s="4">
        <v>118</v>
      </c>
      <c r="M200" s="19">
        <f t="shared" si="47"/>
        <v>2.5423728813559324E-2</v>
      </c>
      <c r="N200" s="3">
        <f>E200*Q200</f>
        <v>14760</v>
      </c>
      <c r="O200" s="3">
        <f>F200*R200</f>
        <v>12320</v>
      </c>
      <c r="P200" s="19">
        <f t="shared" si="48"/>
        <v>0.19805194805194806</v>
      </c>
      <c r="Q200" s="1">
        <v>82</v>
      </c>
      <c r="R200" s="1">
        <v>77</v>
      </c>
      <c r="S200" s="19">
        <f t="shared" si="49"/>
        <v>6.4935064935064929E-2</v>
      </c>
      <c r="T200" s="1">
        <v>13835</v>
      </c>
      <c r="U200" s="1">
        <v>14794</v>
      </c>
      <c r="V200" s="19">
        <f t="shared" si="50"/>
        <v>-6.4823577125861842E-2</v>
      </c>
      <c r="W200" s="1">
        <v>72</v>
      </c>
      <c r="X200" s="1">
        <v>72</v>
      </c>
      <c r="Y200" s="19">
        <f t="shared" si="51"/>
        <v>0</v>
      </c>
      <c r="Z200" s="1">
        <v>4.2</v>
      </c>
      <c r="AA200" s="17">
        <f>X200/U200</f>
        <v>4.8668379072597003E-3</v>
      </c>
      <c r="AB200" s="17">
        <f>W200/T200</f>
        <v>5.2041922659920494E-3</v>
      </c>
      <c r="AC200" s="17">
        <f t="shared" si="52"/>
        <v>6.9316949765088509E-2</v>
      </c>
      <c r="AD200" s="18">
        <f>O200/X200</f>
        <v>171.11111111111111</v>
      </c>
      <c r="AE200" s="18">
        <f>N200/W200</f>
        <v>205</v>
      </c>
      <c r="AF200" s="16">
        <f t="shared" si="53"/>
        <v>0.19805194805194803</v>
      </c>
      <c r="AG200">
        <f t="shared" si="54"/>
        <v>160</v>
      </c>
      <c r="AH200">
        <f t="shared" si="55"/>
        <v>180</v>
      </c>
      <c r="AI200" s="16">
        <f t="shared" si="56"/>
        <v>0.125</v>
      </c>
      <c r="AJ200" s="18">
        <f t="shared" si="57"/>
        <v>2.6411275749909651</v>
      </c>
      <c r="AK200" s="18">
        <f t="shared" si="58"/>
        <v>2.1089630931458698</v>
      </c>
      <c r="AL200" s="15">
        <f t="shared" si="59"/>
        <v>0.59605911330049266</v>
      </c>
    </row>
    <row r="201" spans="1:38" x14ac:dyDescent="0.35">
      <c r="A201" s="1" t="s">
        <v>25</v>
      </c>
      <c r="B201" s="6" t="s">
        <v>46</v>
      </c>
      <c r="C201" s="1">
        <v>20</v>
      </c>
      <c r="D201" s="1" t="s">
        <v>50</v>
      </c>
      <c r="E201" s="2">
        <v>475</v>
      </c>
      <c r="F201" s="2">
        <v>475</v>
      </c>
      <c r="G201" s="2">
        <f t="shared" si="45"/>
        <v>0</v>
      </c>
      <c r="H201" s="3">
        <f>E201*K201</f>
        <v>60800</v>
      </c>
      <c r="I201" s="3">
        <f>F201*L201</f>
        <v>59375</v>
      </c>
      <c r="J201" s="19">
        <f t="shared" si="46"/>
        <v>2.4E-2</v>
      </c>
      <c r="K201" s="4">
        <v>128</v>
      </c>
      <c r="L201" s="4">
        <v>125</v>
      </c>
      <c r="M201" s="19">
        <f t="shared" si="47"/>
        <v>2.4E-2</v>
      </c>
      <c r="N201" s="3">
        <f>E201*Q201</f>
        <v>54625</v>
      </c>
      <c r="O201" s="3">
        <f>F201*R201</f>
        <v>52725</v>
      </c>
      <c r="P201" s="19">
        <f t="shared" si="48"/>
        <v>3.6036036036036036E-2</v>
      </c>
      <c r="Q201" s="1">
        <v>115</v>
      </c>
      <c r="R201" s="1">
        <v>111</v>
      </c>
      <c r="S201" s="19">
        <f t="shared" si="49"/>
        <v>3.6036036036036036E-2</v>
      </c>
      <c r="T201" s="1">
        <v>3006</v>
      </c>
      <c r="U201" s="1">
        <v>2560</v>
      </c>
      <c r="V201" s="19">
        <f t="shared" si="50"/>
        <v>0.17421875000000001</v>
      </c>
      <c r="W201" s="1">
        <v>105</v>
      </c>
      <c r="X201" s="1">
        <v>106</v>
      </c>
      <c r="Y201" s="19">
        <f t="shared" si="51"/>
        <v>-9.433962264150943E-3</v>
      </c>
      <c r="Z201" s="5">
        <v>4.3</v>
      </c>
      <c r="AA201" s="17">
        <f>X201/U201</f>
        <v>4.1406249999999999E-2</v>
      </c>
      <c r="AB201" s="17">
        <f>W201/T201</f>
        <v>3.4930139720558882E-2</v>
      </c>
      <c r="AC201" s="17">
        <f t="shared" si="52"/>
        <v>-0.15640417278650243</v>
      </c>
      <c r="AD201" s="18">
        <f>O201/X201</f>
        <v>497.40566037735852</v>
      </c>
      <c r="AE201" s="18">
        <f>N201/W201</f>
        <v>520.23809523809518</v>
      </c>
      <c r="AF201" s="16">
        <f t="shared" si="53"/>
        <v>4.5903045903045746E-2</v>
      </c>
      <c r="AG201">
        <f t="shared" si="54"/>
        <v>475</v>
      </c>
      <c r="AH201">
        <f t="shared" si="55"/>
        <v>475</v>
      </c>
      <c r="AI201" s="16">
        <f t="shared" si="56"/>
        <v>0</v>
      </c>
      <c r="AJ201" s="18">
        <f t="shared" si="57"/>
        <v>38.398203592814369</v>
      </c>
      <c r="AK201" s="18">
        <f t="shared" si="58"/>
        <v>43.7890625</v>
      </c>
      <c r="AL201" s="15">
        <f t="shared" si="59"/>
        <v>0.52674897119341568</v>
      </c>
    </row>
    <row r="202" spans="1:38" x14ac:dyDescent="0.35">
      <c r="A202" s="1" t="s">
        <v>26</v>
      </c>
      <c r="B202" s="1" t="s">
        <v>16</v>
      </c>
      <c r="C202" s="1">
        <v>1</v>
      </c>
      <c r="D202" s="1" t="s">
        <v>48</v>
      </c>
      <c r="E202" s="2">
        <v>249</v>
      </c>
      <c r="F202" s="2">
        <v>229</v>
      </c>
      <c r="G202" s="2">
        <f t="shared" si="45"/>
        <v>20</v>
      </c>
      <c r="H202" s="3">
        <f>E202*K202</f>
        <v>52290</v>
      </c>
      <c r="I202" s="3">
        <f>F202*L202</f>
        <v>47174</v>
      </c>
      <c r="J202" s="19">
        <f t="shared" si="46"/>
        <v>0.10844956967821258</v>
      </c>
      <c r="K202" s="4">
        <v>210</v>
      </c>
      <c r="L202" s="4">
        <v>206</v>
      </c>
      <c r="M202" s="19">
        <f t="shared" si="47"/>
        <v>1.9417475728155338E-2</v>
      </c>
      <c r="N202" s="3">
        <f>E202*Q202</f>
        <v>29133</v>
      </c>
      <c r="O202" s="3">
        <f>F202*R202</f>
        <v>24961</v>
      </c>
      <c r="P202" s="19">
        <f t="shared" si="48"/>
        <v>0.16714073955370379</v>
      </c>
      <c r="Q202" s="1">
        <v>117</v>
      </c>
      <c r="R202" s="1">
        <v>109</v>
      </c>
      <c r="S202" s="19">
        <f t="shared" si="49"/>
        <v>7.3394495412844041E-2</v>
      </c>
      <c r="T202" s="1">
        <v>7043</v>
      </c>
      <c r="U202" s="1">
        <v>6764</v>
      </c>
      <c r="V202" s="19">
        <f t="shared" si="50"/>
        <v>4.1247782377291542E-2</v>
      </c>
      <c r="W202" s="1">
        <v>107</v>
      </c>
      <c r="X202" s="1">
        <v>104</v>
      </c>
      <c r="Y202" s="19">
        <f t="shared" si="51"/>
        <v>2.8846153846153848E-2</v>
      </c>
      <c r="Z202" s="5">
        <v>2.0999999999999996</v>
      </c>
      <c r="AA202" s="17">
        <f>X202/U202</f>
        <v>1.537551744529864E-2</v>
      </c>
      <c r="AB202" s="17">
        <f>W202/T202</f>
        <v>1.5192389606701689E-2</v>
      </c>
      <c r="AC202" s="17">
        <f t="shared" si="52"/>
        <v>-1.1910352887209357E-2</v>
      </c>
      <c r="AD202" s="18">
        <f>O202/X202</f>
        <v>240.00961538461539</v>
      </c>
      <c r="AE202" s="18">
        <f>N202/W202</f>
        <v>272.27102803738319</v>
      </c>
      <c r="AF202" s="16">
        <f t="shared" si="53"/>
        <v>0.13441716741668408</v>
      </c>
      <c r="AG202">
        <f t="shared" si="54"/>
        <v>229</v>
      </c>
      <c r="AH202">
        <f t="shared" si="55"/>
        <v>249</v>
      </c>
      <c r="AI202" s="16">
        <f t="shared" si="56"/>
        <v>8.7336244541484712E-2</v>
      </c>
      <c r="AJ202" s="18">
        <f t="shared" si="57"/>
        <v>11.560840550901604</v>
      </c>
      <c r="AK202" s="18">
        <f t="shared" si="58"/>
        <v>10.664547604967474</v>
      </c>
      <c r="AL202" s="15">
        <f t="shared" si="59"/>
        <v>0.64220183486238536</v>
      </c>
    </row>
    <row r="203" spans="1:38" x14ac:dyDescent="0.35">
      <c r="A203" s="1" t="s">
        <v>26</v>
      </c>
      <c r="B203" s="6" t="s">
        <v>28</v>
      </c>
      <c r="C203" s="1">
        <v>2</v>
      </c>
      <c r="D203" s="1" t="s">
        <v>48</v>
      </c>
      <c r="E203" s="2">
        <v>354</v>
      </c>
      <c r="F203" s="2">
        <v>354</v>
      </c>
      <c r="G203" s="2">
        <f t="shared" si="45"/>
        <v>0</v>
      </c>
      <c r="H203" s="3">
        <f>E203*K203</f>
        <v>58764</v>
      </c>
      <c r="I203" s="3">
        <f>F203*L203</f>
        <v>56286</v>
      </c>
      <c r="J203" s="19">
        <f t="shared" si="46"/>
        <v>4.40251572327044E-2</v>
      </c>
      <c r="K203" s="4">
        <v>166</v>
      </c>
      <c r="L203" s="4">
        <v>159</v>
      </c>
      <c r="M203" s="19">
        <f t="shared" si="47"/>
        <v>4.40251572327044E-2</v>
      </c>
      <c r="N203" s="3">
        <f>E203*Q203</f>
        <v>20886</v>
      </c>
      <c r="O203" s="3">
        <f>F203*R203</f>
        <v>20886</v>
      </c>
      <c r="P203" s="19">
        <f t="shared" si="48"/>
        <v>0</v>
      </c>
      <c r="Q203" s="1">
        <v>59</v>
      </c>
      <c r="R203" s="1">
        <v>59</v>
      </c>
      <c r="S203" s="19">
        <f t="shared" si="49"/>
        <v>0</v>
      </c>
      <c r="T203" s="1">
        <v>12731</v>
      </c>
      <c r="U203" s="1">
        <v>12468</v>
      </c>
      <c r="V203" s="19">
        <f t="shared" si="50"/>
        <v>2.1094000641642605E-2</v>
      </c>
      <c r="W203" s="1">
        <v>49</v>
      </c>
      <c r="X203" s="1">
        <v>54</v>
      </c>
      <c r="Y203" s="19">
        <f t="shared" si="51"/>
        <v>-9.2592592592592587E-2</v>
      </c>
      <c r="Z203" s="5">
        <v>4.4000000000000004</v>
      </c>
      <c r="AA203" s="17">
        <f>X203/U203</f>
        <v>4.3310875842155917E-3</v>
      </c>
      <c r="AB203" s="17">
        <f>W203/T203</f>
        <v>3.8488728300997564E-3</v>
      </c>
      <c r="AC203" s="17">
        <f t="shared" si="52"/>
        <v>-0.11133802878363395</v>
      </c>
      <c r="AD203" s="18">
        <f>O203/X203</f>
        <v>386.77777777777777</v>
      </c>
      <c r="AE203" s="18">
        <f>N203/W203</f>
        <v>426.24489795918367</v>
      </c>
      <c r="AF203" s="16">
        <f t="shared" si="53"/>
        <v>0.10204081632653063</v>
      </c>
      <c r="AG203">
        <f t="shared" si="54"/>
        <v>354</v>
      </c>
      <c r="AH203">
        <f t="shared" si="55"/>
        <v>354</v>
      </c>
      <c r="AI203" s="16">
        <f t="shared" si="56"/>
        <v>0</v>
      </c>
      <c r="AJ203" s="18">
        <f t="shared" si="57"/>
        <v>6.2563820595397059</v>
      </c>
      <c r="AK203" s="18">
        <f t="shared" si="58"/>
        <v>6.1896053897978822</v>
      </c>
      <c r="AL203" s="15">
        <f t="shared" si="59"/>
        <v>0.73777777777777775</v>
      </c>
    </row>
    <row r="204" spans="1:38" x14ac:dyDescent="0.35">
      <c r="A204" s="1" t="s">
        <v>26</v>
      </c>
      <c r="B204" s="6" t="s">
        <v>29</v>
      </c>
      <c r="C204" s="1">
        <v>3</v>
      </c>
      <c r="D204" s="1" t="s">
        <v>48</v>
      </c>
      <c r="E204" s="2">
        <v>198</v>
      </c>
      <c r="F204" s="2">
        <v>198</v>
      </c>
      <c r="G204" s="2">
        <f t="shared" si="45"/>
        <v>0</v>
      </c>
      <c r="H204" s="3">
        <f>E204*K204</f>
        <v>32670</v>
      </c>
      <c r="I204" s="3">
        <f>F204*L204</f>
        <v>29106</v>
      </c>
      <c r="J204" s="19">
        <f t="shared" si="46"/>
        <v>0.12244897959183673</v>
      </c>
      <c r="K204" s="4">
        <v>165</v>
      </c>
      <c r="L204" s="4">
        <v>147</v>
      </c>
      <c r="M204" s="19">
        <f t="shared" si="47"/>
        <v>0.12244897959183673</v>
      </c>
      <c r="N204" s="3">
        <f>E204*Q204</f>
        <v>17820</v>
      </c>
      <c r="O204" s="3">
        <f>F204*R204</f>
        <v>15642</v>
      </c>
      <c r="P204" s="19">
        <f t="shared" si="48"/>
        <v>0.13924050632911392</v>
      </c>
      <c r="Q204" s="1">
        <v>90</v>
      </c>
      <c r="R204" s="1">
        <v>79</v>
      </c>
      <c r="S204" s="19">
        <f t="shared" si="49"/>
        <v>0.13924050632911392</v>
      </c>
      <c r="T204" s="1">
        <v>13416</v>
      </c>
      <c r="U204" s="1">
        <v>12494</v>
      </c>
      <c r="V204" s="19">
        <f t="shared" si="50"/>
        <v>7.3795421802465178E-2</v>
      </c>
      <c r="W204" s="1">
        <v>80</v>
      </c>
      <c r="X204" s="1">
        <v>74</v>
      </c>
      <c r="Y204" s="19">
        <f t="shared" si="51"/>
        <v>8.1081081081081086E-2</v>
      </c>
      <c r="Z204" s="5">
        <v>2.4</v>
      </c>
      <c r="AA204" s="17">
        <f>X204/U204</f>
        <v>5.9228429646230188E-3</v>
      </c>
      <c r="AB204" s="17">
        <f>W204/T204</f>
        <v>5.9630292188431726E-3</v>
      </c>
      <c r="AC204" s="17">
        <f t="shared" si="52"/>
        <v>6.7849602733324578E-3</v>
      </c>
      <c r="AD204" s="18">
        <f>O204/X204</f>
        <v>211.37837837837839</v>
      </c>
      <c r="AE204" s="18">
        <f>N204/W204</f>
        <v>222.75</v>
      </c>
      <c r="AF204" s="16">
        <f t="shared" si="53"/>
        <v>5.379746835443034E-2</v>
      </c>
      <c r="AG204">
        <f t="shared" si="54"/>
        <v>198</v>
      </c>
      <c r="AH204">
        <f t="shared" si="55"/>
        <v>198</v>
      </c>
      <c r="AI204" s="16">
        <f t="shared" si="56"/>
        <v>0</v>
      </c>
      <c r="AJ204" s="18">
        <f t="shared" si="57"/>
        <v>3.7634168157423971</v>
      </c>
      <c r="AK204" s="18">
        <f t="shared" si="58"/>
        <v>3.5815591483912277</v>
      </c>
      <c r="AL204" s="15">
        <f t="shared" si="59"/>
        <v>0.6470588235294118</v>
      </c>
    </row>
    <row r="205" spans="1:38" x14ac:dyDescent="0.35">
      <c r="A205" s="1" t="s">
        <v>26</v>
      </c>
      <c r="B205" s="6" t="s">
        <v>30</v>
      </c>
      <c r="C205" s="1">
        <v>4</v>
      </c>
      <c r="D205" s="1" t="s">
        <v>48</v>
      </c>
      <c r="E205" s="2">
        <v>150</v>
      </c>
      <c r="F205" s="2">
        <v>149</v>
      </c>
      <c r="G205" s="2">
        <f t="shared" si="45"/>
        <v>1</v>
      </c>
      <c r="H205" s="3">
        <f>E205*K205</f>
        <v>20550</v>
      </c>
      <c r="I205" s="3">
        <f>F205*L205</f>
        <v>19966</v>
      </c>
      <c r="J205" s="19">
        <f t="shared" si="46"/>
        <v>2.9249724531703897E-2</v>
      </c>
      <c r="K205" s="4">
        <v>137</v>
      </c>
      <c r="L205" s="4">
        <v>134</v>
      </c>
      <c r="M205" s="19">
        <f t="shared" si="47"/>
        <v>2.2388059701492536E-2</v>
      </c>
      <c r="N205" s="3">
        <f>E205*Q205</f>
        <v>10350</v>
      </c>
      <c r="O205" s="3">
        <f>F205*R205</f>
        <v>9089</v>
      </c>
      <c r="P205" s="19">
        <f t="shared" si="48"/>
        <v>0.13873913521839587</v>
      </c>
      <c r="Q205" s="1">
        <v>69</v>
      </c>
      <c r="R205" s="1">
        <v>61</v>
      </c>
      <c r="S205" s="19">
        <f t="shared" si="49"/>
        <v>0.13114754098360656</v>
      </c>
      <c r="T205" s="1">
        <v>4694</v>
      </c>
      <c r="U205" s="1">
        <v>4551</v>
      </c>
      <c r="V205" s="19">
        <f t="shared" si="50"/>
        <v>3.1421665568007032E-2</v>
      </c>
      <c r="W205" s="1">
        <v>59</v>
      </c>
      <c r="X205" s="1">
        <v>56</v>
      </c>
      <c r="Y205" s="19">
        <f t="shared" si="51"/>
        <v>5.3571428571428568E-2</v>
      </c>
      <c r="Z205" s="5">
        <v>4.2</v>
      </c>
      <c r="AA205" s="17">
        <f>X205/U205</f>
        <v>1.2304987914744013E-2</v>
      </c>
      <c r="AB205" s="17">
        <f>W205/T205</f>
        <v>1.2569237324243716E-2</v>
      </c>
      <c r="AC205" s="17">
        <f t="shared" si="52"/>
        <v>2.1474983261306188E-2</v>
      </c>
      <c r="AD205" s="18">
        <f>O205/X205</f>
        <v>162.30357142857142</v>
      </c>
      <c r="AE205" s="18">
        <f>N205/W205</f>
        <v>175.42372881355934</v>
      </c>
      <c r="AF205" s="16">
        <f t="shared" si="53"/>
        <v>8.0837145292036922E-2</v>
      </c>
      <c r="AG205">
        <f t="shared" si="54"/>
        <v>149</v>
      </c>
      <c r="AH205">
        <f t="shared" si="55"/>
        <v>150</v>
      </c>
      <c r="AI205" s="16">
        <f t="shared" si="56"/>
        <v>6.7114093959731542E-3</v>
      </c>
      <c r="AJ205" s="18">
        <f t="shared" si="57"/>
        <v>6.5828717511717088</v>
      </c>
      <c r="AK205" s="18">
        <f t="shared" si="58"/>
        <v>6.384311140408701</v>
      </c>
      <c r="AL205" s="15">
        <f t="shared" si="59"/>
        <v>0.66504854368932043</v>
      </c>
    </row>
    <row r="206" spans="1:38" x14ac:dyDescent="0.35">
      <c r="A206" s="1" t="s">
        <v>26</v>
      </c>
      <c r="B206" s="6" t="s">
        <v>31</v>
      </c>
      <c r="C206" s="1">
        <v>5</v>
      </c>
      <c r="D206" s="1" t="s">
        <v>48</v>
      </c>
      <c r="E206" s="2">
        <v>506</v>
      </c>
      <c r="F206" s="2">
        <v>499.9</v>
      </c>
      <c r="G206" s="2">
        <f t="shared" si="45"/>
        <v>6.1000000000000227</v>
      </c>
      <c r="H206" s="3">
        <f>E206*K206</f>
        <v>39974</v>
      </c>
      <c r="I206" s="3">
        <f>F206*L206</f>
        <v>35992.799999999996</v>
      </c>
      <c r="J206" s="19">
        <f t="shared" si="46"/>
        <v>0.11061101109110724</v>
      </c>
      <c r="K206" s="4">
        <v>79</v>
      </c>
      <c r="L206" s="4">
        <v>72</v>
      </c>
      <c r="M206" s="19">
        <f t="shared" si="47"/>
        <v>9.7222222222222224E-2</v>
      </c>
      <c r="N206" s="3">
        <f>E206*Q206</f>
        <v>25806</v>
      </c>
      <c r="O206" s="3">
        <f>F206*R206</f>
        <v>22495.5</v>
      </c>
      <c r="P206" s="19">
        <f t="shared" si="48"/>
        <v>0.14716276588651064</v>
      </c>
      <c r="Q206" s="1">
        <v>51</v>
      </c>
      <c r="R206" s="1">
        <v>45</v>
      </c>
      <c r="S206" s="19">
        <f t="shared" si="49"/>
        <v>0.13333333333333333</v>
      </c>
      <c r="T206" s="1">
        <v>7613</v>
      </c>
      <c r="U206" s="1">
        <v>7212</v>
      </c>
      <c r="V206" s="19">
        <f t="shared" si="50"/>
        <v>5.5601774819744869E-2</v>
      </c>
      <c r="W206" s="1">
        <v>41</v>
      </c>
      <c r="X206" s="1">
        <v>40</v>
      </c>
      <c r="Y206" s="19">
        <f t="shared" si="51"/>
        <v>2.5000000000000001E-2</v>
      </c>
      <c r="Z206" s="5">
        <v>2.9000000000000004</v>
      </c>
      <c r="AA206" s="17">
        <f>X206/U206</f>
        <v>5.546311702717693E-3</v>
      </c>
      <c r="AB206" s="17">
        <f>W206/T206</f>
        <v>5.3855247602784713E-3</v>
      </c>
      <c r="AC206" s="17">
        <f t="shared" si="52"/>
        <v>-2.8989885721791675E-2</v>
      </c>
      <c r="AD206" s="18">
        <f>O206/X206</f>
        <v>562.38750000000005</v>
      </c>
      <c r="AE206" s="18">
        <f>N206/W206</f>
        <v>629.41463414634143</v>
      </c>
      <c r="AF206" s="16">
        <f t="shared" si="53"/>
        <v>0.11918318623074192</v>
      </c>
      <c r="AG206">
        <f t="shared" si="54"/>
        <v>499.89999999999992</v>
      </c>
      <c r="AH206">
        <f t="shared" si="55"/>
        <v>506</v>
      </c>
      <c r="AI206" s="16">
        <f t="shared" si="56"/>
        <v>1.2202440488097781E-2</v>
      </c>
      <c r="AJ206" s="18">
        <f t="shared" si="57"/>
        <v>8.640483383685801</v>
      </c>
      <c r="AK206" s="18">
        <f t="shared" si="58"/>
        <v>8.1098585690515801</v>
      </c>
      <c r="AL206" s="15">
        <f t="shared" si="59"/>
        <v>0.60769230769230764</v>
      </c>
    </row>
    <row r="207" spans="1:38" x14ac:dyDescent="0.35">
      <c r="A207" s="1" t="s">
        <v>26</v>
      </c>
      <c r="B207" s="6" t="s">
        <v>32</v>
      </c>
      <c r="C207" s="1">
        <v>6</v>
      </c>
      <c r="D207" s="1" t="s">
        <v>48</v>
      </c>
      <c r="E207" s="2">
        <v>421</v>
      </c>
      <c r="F207" s="2">
        <v>399</v>
      </c>
      <c r="G207" s="2">
        <f t="shared" si="45"/>
        <v>22</v>
      </c>
      <c r="H207" s="3">
        <f>E207*K207</f>
        <v>85042</v>
      </c>
      <c r="I207" s="3">
        <f>F207*L207</f>
        <v>75411</v>
      </c>
      <c r="J207" s="19">
        <f t="shared" si="46"/>
        <v>0.12771346355306254</v>
      </c>
      <c r="K207" s="4">
        <v>202</v>
      </c>
      <c r="L207" s="4">
        <v>189</v>
      </c>
      <c r="M207" s="19">
        <f t="shared" si="47"/>
        <v>6.8783068783068779E-2</v>
      </c>
      <c r="N207" s="3">
        <f>E207*Q207</f>
        <v>51362</v>
      </c>
      <c r="O207" s="3">
        <f>F207*R207</f>
        <v>49875</v>
      </c>
      <c r="P207" s="19">
        <f t="shared" si="48"/>
        <v>2.981453634085213E-2</v>
      </c>
      <c r="Q207" s="1">
        <v>122</v>
      </c>
      <c r="R207" s="1">
        <v>125</v>
      </c>
      <c r="S207" s="19">
        <f t="shared" si="49"/>
        <v>-2.4E-2</v>
      </c>
      <c r="T207" s="1">
        <v>3276</v>
      </c>
      <c r="U207" s="1">
        <v>3164</v>
      </c>
      <c r="V207" s="19">
        <f t="shared" si="50"/>
        <v>3.5398230088495575E-2</v>
      </c>
      <c r="W207" s="1">
        <v>112</v>
      </c>
      <c r="X207" s="4">
        <v>120.35</v>
      </c>
      <c r="Y207" s="19">
        <f t="shared" si="51"/>
        <v>-6.9380972164520105E-2</v>
      </c>
      <c r="Z207" s="1">
        <v>4.3</v>
      </c>
      <c r="AA207" s="17">
        <f>X207/U207</f>
        <v>3.8037294563843235E-2</v>
      </c>
      <c r="AB207" s="17">
        <f>W207/T207</f>
        <v>3.4188034188034191E-2</v>
      </c>
      <c r="AC207" s="17">
        <f t="shared" si="52"/>
        <v>-0.10119700730419455</v>
      </c>
      <c r="AD207" s="18">
        <f>O207/X207</f>
        <v>414.41628583298711</v>
      </c>
      <c r="AE207" s="18">
        <f>N207/W207</f>
        <v>458.58928571428572</v>
      </c>
      <c r="AF207" s="16">
        <f t="shared" si="53"/>
        <v>0.10659088793412105</v>
      </c>
      <c r="AG207">
        <f t="shared" si="54"/>
        <v>399</v>
      </c>
      <c r="AH207">
        <f t="shared" si="55"/>
        <v>421</v>
      </c>
      <c r="AI207" s="16">
        <f t="shared" si="56"/>
        <v>5.5137844611528819E-2</v>
      </c>
      <c r="AJ207" s="18">
        <f t="shared" si="57"/>
        <v>41.637362637362635</v>
      </c>
      <c r="AK207" s="18">
        <f t="shared" si="58"/>
        <v>39.597345132743364</v>
      </c>
      <c r="AL207" s="15">
        <f t="shared" si="59"/>
        <v>0.62345679012345678</v>
      </c>
    </row>
    <row r="208" spans="1:38" x14ac:dyDescent="0.35">
      <c r="A208" s="1" t="s">
        <v>26</v>
      </c>
      <c r="B208" s="6" t="s">
        <v>33</v>
      </c>
      <c r="C208" s="1">
        <v>7</v>
      </c>
      <c r="D208" s="1" t="s">
        <v>48</v>
      </c>
      <c r="E208" s="2">
        <v>419</v>
      </c>
      <c r="F208" s="2">
        <v>419</v>
      </c>
      <c r="G208" s="2">
        <f t="shared" si="45"/>
        <v>0</v>
      </c>
      <c r="H208" s="3">
        <f>E208*K208</f>
        <v>25140</v>
      </c>
      <c r="I208" s="3">
        <f>F208*L208</f>
        <v>25559</v>
      </c>
      <c r="J208" s="19">
        <f t="shared" si="46"/>
        <v>-1.6393442622950821E-2</v>
      </c>
      <c r="K208" s="4">
        <v>60</v>
      </c>
      <c r="L208" s="4">
        <v>61</v>
      </c>
      <c r="M208" s="19">
        <f t="shared" si="47"/>
        <v>-1.6393442622950821E-2</v>
      </c>
      <c r="N208" s="3">
        <f>E208*Q208</f>
        <v>43995</v>
      </c>
      <c r="O208" s="3">
        <f>F208*R208</f>
        <v>41900</v>
      </c>
      <c r="P208" s="19">
        <f t="shared" si="48"/>
        <v>0.05</v>
      </c>
      <c r="Q208" s="1">
        <v>105</v>
      </c>
      <c r="R208" s="1">
        <v>100</v>
      </c>
      <c r="S208" s="19">
        <f t="shared" si="49"/>
        <v>0.05</v>
      </c>
      <c r="T208" s="1">
        <v>4603</v>
      </c>
      <c r="U208" s="1">
        <v>4165</v>
      </c>
      <c r="V208" s="19">
        <f t="shared" si="50"/>
        <v>0.10516206482593037</v>
      </c>
      <c r="W208" s="1">
        <v>95</v>
      </c>
      <c r="X208" s="4">
        <v>84</v>
      </c>
      <c r="Y208" s="19">
        <f t="shared" si="51"/>
        <v>0.13095238095238096</v>
      </c>
      <c r="Z208" s="5">
        <v>4.3</v>
      </c>
      <c r="AA208" s="17">
        <f>X208/U208</f>
        <v>2.0168067226890758E-2</v>
      </c>
      <c r="AB208" s="17">
        <f>W208/T208</f>
        <v>2.0638713882250706E-2</v>
      </c>
      <c r="AC208" s="17">
        <f t="shared" si="52"/>
        <v>2.333622999493078E-2</v>
      </c>
      <c r="AD208" s="18">
        <f>O208/X208</f>
        <v>498.8095238095238</v>
      </c>
      <c r="AE208" s="18">
        <f>N208/W208</f>
        <v>463.10526315789474</v>
      </c>
      <c r="AF208" s="16">
        <f t="shared" si="53"/>
        <v>-7.157894736842102E-2</v>
      </c>
      <c r="AG208">
        <f t="shared" si="54"/>
        <v>419</v>
      </c>
      <c r="AH208">
        <f t="shared" si="55"/>
        <v>419</v>
      </c>
      <c r="AI208" s="16">
        <f t="shared" si="56"/>
        <v>0</v>
      </c>
      <c r="AJ208" s="18">
        <f t="shared" si="57"/>
        <v>15.019552465783185</v>
      </c>
      <c r="AK208" s="18">
        <f t="shared" si="58"/>
        <v>16.196638655462184</v>
      </c>
      <c r="AL208" s="15">
        <f t="shared" si="59"/>
        <v>0.36363636363636365</v>
      </c>
    </row>
    <row r="209" spans="1:38" x14ac:dyDescent="0.35">
      <c r="A209" s="1" t="s">
        <v>26</v>
      </c>
      <c r="B209" s="6" t="s">
        <v>34</v>
      </c>
      <c r="C209" s="1">
        <v>8</v>
      </c>
      <c r="D209" s="1" t="s">
        <v>49</v>
      </c>
      <c r="E209" s="2">
        <v>175</v>
      </c>
      <c r="F209" s="2">
        <v>169.9</v>
      </c>
      <c r="G209" s="2">
        <f t="shared" si="45"/>
        <v>5.0999999999999943</v>
      </c>
      <c r="H209" s="3">
        <f>E209*K209</f>
        <v>36750</v>
      </c>
      <c r="I209" s="3">
        <f>F209*L209</f>
        <v>31091.7</v>
      </c>
      <c r="J209" s="19">
        <f t="shared" si="46"/>
        <v>0.18198747575719562</v>
      </c>
      <c r="K209" s="4">
        <v>210</v>
      </c>
      <c r="L209" s="4">
        <v>183</v>
      </c>
      <c r="M209" s="19">
        <f t="shared" si="47"/>
        <v>0.14754098360655737</v>
      </c>
      <c r="N209" s="3">
        <f>E209*Q209</f>
        <v>11900</v>
      </c>
      <c r="O209" s="3">
        <f>F209*R209</f>
        <v>10703.7</v>
      </c>
      <c r="P209" s="19">
        <f t="shared" si="48"/>
        <v>0.11176509057615583</v>
      </c>
      <c r="Q209" s="1">
        <v>68</v>
      </c>
      <c r="R209" s="1">
        <v>63</v>
      </c>
      <c r="S209" s="19">
        <f t="shared" si="49"/>
        <v>7.9365079365079361E-2</v>
      </c>
      <c r="T209" s="1">
        <v>6598</v>
      </c>
      <c r="U209" s="1">
        <v>6662</v>
      </c>
      <c r="V209" s="19">
        <f t="shared" si="50"/>
        <v>-9.6067247072951067E-3</v>
      </c>
      <c r="W209" s="1">
        <v>58</v>
      </c>
      <c r="X209" s="4">
        <v>54.78</v>
      </c>
      <c r="Y209" s="19">
        <f t="shared" si="51"/>
        <v>5.8780576852865987E-2</v>
      </c>
      <c r="Z209" s="1">
        <v>4.4000000000000004</v>
      </c>
      <c r="AA209" s="17">
        <f>X209/U209</f>
        <v>8.2227559291504059E-3</v>
      </c>
      <c r="AB209" s="17">
        <f>W209/T209</f>
        <v>8.7905425886632312E-3</v>
      </c>
      <c r="AC209" s="17">
        <f t="shared" si="52"/>
        <v>6.9050652166382648E-2</v>
      </c>
      <c r="AD209" s="18">
        <f>O209/X209</f>
        <v>195.39430449069005</v>
      </c>
      <c r="AE209" s="18">
        <f>N209/W209</f>
        <v>205.17241379310346</v>
      </c>
      <c r="AF209" s="16">
        <f t="shared" si="53"/>
        <v>5.0042959685548616E-2</v>
      </c>
      <c r="AG209">
        <f t="shared" si="54"/>
        <v>169.9</v>
      </c>
      <c r="AH209">
        <f t="shared" si="55"/>
        <v>175</v>
      </c>
      <c r="AI209" s="16">
        <f t="shared" si="56"/>
        <v>3.0017657445556175E-2</v>
      </c>
      <c r="AJ209" s="18">
        <f t="shared" si="57"/>
        <v>7.3734464989390727</v>
      </c>
      <c r="AK209" s="18">
        <f t="shared" si="58"/>
        <v>6.2737015911137801</v>
      </c>
      <c r="AL209" s="15">
        <f t="shared" si="59"/>
        <v>0.75539568345323738</v>
      </c>
    </row>
    <row r="210" spans="1:38" x14ac:dyDescent="0.35">
      <c r="A210" s="1" t="s">
        <v>26</v>
      </c>
      <c r="B210" s="6" t="s">
        <v>35</v>
      </c>
      <c r="C210" s="1">
        <v>9</v>
      </c>
      <c r="D210" s="1" t="s">
        <v>49</v>
      </c>
      <c r="E210" s="2">
        <v>139</v>
      </c>
      <c r="F210" s="2">
        <v>119</v>
      </c>
      <c r="G210" s="2">
        <f t="shared" si="45"/>
        <v>20</v>
      </c>
      <c r="H210" s="3">
        <f>E210*K210</f>
        <v>26271</v>
      </c>
      <c r="I210" s="3">
        <f>F210*L210</f>
        <v>20825</v>
      </c>
      <c r="J210" s="19">
        <f t="shared" si="46"/>
        <v>0.26151260504201679</v>
      </c>
      <c r="K210" s="4">
        <v>189</v>
      </c>
      <c r="L210" s="4">
        <v>175</v>
      </c>
      <c r="M210" s="19">
        <f t="shared" si="47"/>
        <v>0.08</v>
      </c>
      <c r="N210" s="3">
        <f>E210*Q210</f>
        <v>7506</v>
      </c>
      <c r="O210" s="3">
        <f>F210*R210</f>
        <v>6307</v>
      </c>
      <c r="P210" s="19">
        <f t="shared" si="48"/>
        <v>0.19010623117171396</v>
      </c>
      <c r="Q210" s="1">
        <v>54</v>
      </c>
      <c r="R210" s="1">
        <v>53</v>
      </c>
      <c r="S210" s="19">
        <f t="shared" si="49"/>
        <v>1.8867924528301886E-2</v>
      </c>
      <c r="T210" s="1">
        <v>14623</v>
      </c>
      <c r="U210" s="1">
        <v>15623</v>
      </c>
      <c r="V210" s="19">
        <f t="shared" si="50"/>
        <v>-6.4008193048710235E-2</v>
      </c>
      <c r="W210" s="1">
        <v>44</v>
      </c>
      <c r="X210" s="4">
        <v>48.18</v>
      </c>
      <c r="Y210" s="19">
        <f t="shared" si="51"/>
        <v>-8.6757990867579904E-2</v>
      </c>
      <c r="Z210" s="5">
        <v>2</v>
      </c>
      <c r="AA210" s="17">
        <f>X210/U210</f>
        <v>3.0839147410868591E-3</v>
      </c>
      <c r="AB210" s="17">
        <f>W210/T210</f>
        <v>3.0089584900499212E-3</v>
      </c>
      <c r="AC210" s="17">
        <f t="shared" si="52"/>
        <v>-2.4305552302824433E-2</v>
      </c>
      <c r="AD210" s="18">
        <f>O210/X210</f>
        <v>130.90493980904941</v>
      </c>
      <c r="AE210" s="18">
        <f>N210/W210</f>
        <v>170.59090909090909</v>
      </c>
      <c r="AF210" s="16">
        <f t="shared" si="53"/>
        <v>0.30316632313302672</v>
      </c>
      <c r="AG210">
        <f t="shared" si="54"/>
        <v>119</v>
      </c>
      <c r="AH210">
        <f t="shared" si="55"/>
        <v>139</v>
      </c>
      <c r="AI210" s="16">
        <f t="shared" si="56"/>
        <v>0.16806722689075632</v>
      </c>
      <c r="AJ210" s="18">
        <f t="shared" si="57"/>
        <v>2.3098543390549136</v>
      </c>
      <c r="AK210" s="18">
        <f t="shared" si="58"/>
        <v>1.7366702937976062</v>
      </c>
      <c r="AL210" s="15">
        <f t="shared" si="59"/>
        <v>0.77777777777777779</v>
      </c>
    </row>
    <row r="211" spans="1:38" x14ac:dyDescent="0.35">
      <c r="A211" s="1" t="s">
        <v>26</v>
      </c>
      <c r="B211" s="6" t="s">
        <v>36</v>
      </c>
      <c r="C211" s="1">
        <v>10</v>
      </c>
      <c r="D211" s="1" t="s">
        <v>49</v>
      </c>
      <c r="E211" s="2">
        <v>79</v>
      </c>
      <c r="F211" s="2">
        <v>79</v>
      </c>
      <c r="G211" s="2">
        <f t="shared" si="45"/>
        <v>0</v>
      </c>
      <c r="H211" s="3">
        <f>E211*K211</f>
        <v>7505</v>
      </c>
      <c r="I211" s="3">
        <f>F211*L211</f>
        <v>7110</v>
      </c>
      <c r="J211" s="19">
        <f t="shared" si="46"/>
        <v>5.5555555555555552E-2</v>
      </c>
      <c r="K211" s="4">
        <v>95</v>
      </c>
      <c r="L211" s="4">
        <v>90</v>
      </c>
      <c r="M211" s="19">
        <f t="shared" si="47"/>
        <v>5.5555555555555552E-2</v>
      </c>
      <c r="N211" s="3">
        <f>E211*Q211</f>
        <v>4582</v>
      </c>
      <c r="O211" s="3">
        <f>F211*R211</f>
        <v>4187</v>
      </c>
      <c r="P211" s="19">
        <f t="shared" si="48"/>
        <v>9.4339622641509441E-2</v>
      </c>
      <c r="Q211" s="1">
        <v>58</v>
      </c>
      <c r="R211" s="1">
        <v>53</v>
      </c>
      <c r="S211" s="19">
        <f t="shared" si="49"/>
        <v>9.4339622641509441E-2</v>
      </c>
      <c r="T211" s="1">
        <v>9834</v>
      </c>
      <c r="U211" s="1">
        <v>8722</v>
      </c>
      <c r="V211" s="19">
        <f t="shared" si="50"/>
        <v>0.12749369410685624</v>
      </c>
      <c r="W211" s="1">
        <v>48</v>
      </c>
      <c r="X211" s="4">
        <v>51.1</v>
      </c>
      <c r="Y211" s="19">
        <f t="shared" si="51"/>
        <v>-6.0665362035225073E-2</v>
      </c>
      <c r="Z211" s="5">
        <v>2.5</v>
      </c>
      <c r="AA211" s="17">
        <f>X211/U211</f>
        <v>5.858747993579454E-3</v>
      </c>
      <c r="AB211" s="17">
        <f>W211/T211</f>
        <v>4.881025015253203E-3</v>
      </c>
      <c r="AC211" s="17">
        <f t="shared" si="52"/>
        <v>-0.16688257958828889</v>
      </c>
      <c r="AD211" s="18">
        <f>O211/X211</f>
        <v>81.93737769080235</v>
      </c>
      <c r="AE211" s="18">
        <f>N211/W211</f>
        <v>95.458333333333329</v>
      </c>
      <c r="AF211" s="16">
        <f t="shared" si="53"/>
        <v>0.16501572327044017</v>
      </c>
      <c r="AG211">
        <f t="shared" si="54"/>
        <v>79</v>
      </c>
      <c r="AH211">
        <f t="shared" si="55"/>
        <v>79</v>
      </c>
      <c r="AI211" s="16">
        <f t="shared" si="56"/>
        <v>0</v>
      </c>
      <c r="AJ211" s="18">
        <f t="shared" si="57"/>
        <v>1.2291031116534472</v>
      </c>
      <c r="AK211" s="18">
        <f t="shared" si="58"/>
        <v>1.2952304517312543</v>
      </c>
      <c r="AL211" s="15">
        <f t="shared" si="59"/>
        <v>0.62091503267973858</v>
      </c>
    </row>
    <row r="212" spans="1:38" x14ac:dyDescent="0.35">
      <c r="A212" s="1" t="s">
        <v>26</v>
      </c>
      <c r="B212" s="6" t="s">
        <v>37</v>
      </c>
      <c r="C212" s="1">
        <v>11</v>
      </c>
      <c r="D212" s="1" t="s">
        <v>49</v>
      </c>
      <c r="E212" s="2">
        <v>149</v>
      </c>
      <c r="F212" s="2">
        <v>149</v>
      </c>
      <c r="G212" s="2">
        <f t="shared" si="45"/>
        <v>0</v>
      </c>
      <c r="H212" s="3">
        <f>E212*K212</f>
        <v>12367</v>
      </c>
      <c r="I212" s="3">
        <f>F212*L212</f>
        <v>11473</v>
      </c>
      <c r="J212" s="19">
        <f t="shared" si="46"/>
        <v>7.792207792207792E-2</v>
      </c>
      <c r="K212" s="4">
        <v>83</v>
      </c>
      <c r="L212" s="4">
        <v>77</v>
      </c>
      <c r="M212" s="19">
        <f t="shared" si="47"/>
        <v>7.792207792207792E-2</v>
      </c>
      <c r="N212" s="3">
        <f>E212*Q212</f>
        <v>11175</v>
      </c>
      <c r="O212" s="3">
        <f>F212*R212</f>
        <v>10877</v>
      </c>
      <c r="P212" s="19">
        <f t="shared" si="48"/>
        <v>2.7397260273972601E-2</v>
      </c>
      <c r="Q212" s="1">
        <v>75</v>
      </c>
      <c r="R212" s="1">
        <v>73</v>
      </c>
      <c r="S212" s="19">
        <f t="shared" si="49"/>
        <v>2.7397260273972601E-2</v>
      </c>
      <c r="T212" s="1">
        <v>7536</v>
      </c>
      <c r="U212" s="1">
        <v>8104</v>
      </c>
      <c r="V212" s="19">
        <f t="shared" si="50"/>
        <v>-7.0088845014807499E-2</v>
      </c>
      <c r="W212" s="1">
        <v>65</v>
      </c>
      <c r="X212" s="4">
        <v>65.099999999999994</v>
      </c>
      <c r="Y212" s="19">
        <f t="shared" si="51"/>
        <v>-1.5360983102917715E-3</v>
      </c>
      <c r="Z212" s="5">
        <v>2.8</v>
      </c>
      <c r="AA212" s="17">
        <f>X212/U212</f>
        <v>8.0330700888450145E-3</v>
      </c>
      <c r="AB212" s="17">
        <f>W212/T212</f>
        <v>8.6252653927813162E-3</v>
      </c>
      <c r="AC212" s="17">
        <f t="shared" si="52"/>
        <v>7.3719673473115047E-2</v>
      </c>
      <c r="AD212" s="18">
        <f>O212/X212</f>
        <v>167.08141321044548</v>
      </c>
      <c r="AE212" s="18">
        <f>N212/W212</f>
        <v>171.92307692307693</v>
      </c>
      <c r="AF212" s="16">
        <f t="shared" si="53"/>
        <v>2.8977871443624889E-2</v>
      </c>
      <c r="AG212">
        <f t="shared" si="54"/>
        <v>149</v>
      </c>
      <c r="AH212">
        <f t="shared" si="55"/>
        <v>149</v>
      </c>
      <c r="AI212" s="16">
        <f t="shared" si="56"/>
        <v>0</v>
      </c>
      <c r="AJ212" s="18">
        <f t="shared" si="57"/>
        <v>3.1239384288747347</v>
      </c>
      <c r="AK212" s="18">
        <f t="shared" si="58"/>
        <v>2.7578973346495559</v>
      </c>
      <c r="AL212" s="15">
        <f t="shared" si="59"/>
        <v>0.52531645569620256</v>
      </c>
    </row>
    <row r="213" spans="1:38" x14ac:dyDescent="0.35">
      <c r="A213" s="1" t="s">
        <v>26</v>
      </c>
      <c r="B213" s="6" t="s">
        <v>38</v>
      </c>
      <c r="C213" s="1">
        <v>12</v>
      </c>
      <c r="D213" s="1" t="s">
        <v>50</v>
      </c>
      <c r="E213" s="2">
        <v>779</v>
      </c>
      <c r="F213" s="2">
        <v>649.20000000000005</v>
      </c>
      <c r="G213" s="2">
        <f t="shared" si="45"/>
        <v>129.79999999999995</v>
      </c>
      <c r="H213" s="3">
        <f>E213*K213</f>
        <v>151905</v>
      </c>
      <c r="I213" s="3">
        <f>F213*L213</f>
        <v>114908.40000000001</v>
      </c>
      <c r="J213" s="19">
        <f t="shared" si="46"/>
        <v>0.32196601815010906</v>
      </c>
      <c r="K213" s="4">
        <v>195</v>
      </c>
      <c r="L213" s="4">
        <v>177</v>
      </c>
      <c r="M213" s="19">
        <f t="shared" si="47"/>
        <v>0.10169491525423729</v>
      </c>
      <c r="N213" s="3">
        <f>E213*Q213</f>
        <v>59983</v>
      </c>
      <c r="O213" s="3">
        <f>F213*R213</f>
        <v>48690</v>
      </c>
      <c r="P213" s="19">
        <f t="shared" si="48"/>
        <v>0.2319367426576299</v>
      </c>
      <c r="Q213" s="1">
        <v>77</v>
      </c>
      <c r="R213" s="1">
        <v>75</v>
      </c>
      <c r="S213" s="19">
        <f t="shared" si="49"/>
        <v>2.6666666666666668E-2</v>
      </c>
      <c r="T213" s="1">
        <v>9489</v>
      </c>
      <c r="U213" s="1">
        <v>9297</v>
      </c>
      <c r="V213" s="19">
        <f t="shared" si="50"/>
        <v>2.0651823168764117E-2</v>
      </c>
      <c r="W213" s="1">
        <v>67</v>
      </c>
      <c r="X213" s="1">
        <v>70</v>
      </c>
      <c r="Y213" s="19">
        <f t="shared" si="51"/>
        <v>-4.2857142857142858E-2</v>
      </c>
      <c r="Z213" s="1">
        <v>4.3</v>
      </c>
      <c r="AA213" s="17">
        <f>X213/U213</f>
        <v>7.5293105302785841E-3</v>
      </c>
      <c r="AB213" s="17">
        <f>W213/T213</f>
        <v>7.06080725050058E-3</v>
      </c>
      <c r="AC213" s="17">
        <f t="shared" si="52"/>
        <v>-6.2223928458515772E-2</v>
      </c>
      <c r="AD213" s="18">
        <f>O213/X213</f>
        <v>695.57142857142856</v>
      </c>
      <c r="AE213" s="18">
        <f>N213/W213</f>
        <v>895.26865671641792</v>
      </c>
      <c r="AF213" s="16">
        <f t="shared" si="53"/>
        <v>0.2870980893437925</v>
      </c>
      <c r="AG213">
        <f t="shared" si="54"/>
        <v>649.20000000000005</v>
      </c>
      <c r="AH213">
        <f t="shared" si="55"/>
        <v>779</v>
      </c>
      <c r="AI213" s="16">
        <f t="shared" si="56"/>
        <v>0.19993838570548358</v>
      </c>
      <c r="AJ213" s="18">
        <f t="shared" si="57"/>
        <v>22.329855622299505</v>
      </c>
      <c r="AK213" s="18">
        <f t="shared" si="58"/>
        <v>17.596902226524687</v>
      </c>
      <c r="AL213" s="15">
        <f t="shared" si="59"/>
        <v>0.71691176470588236</v>
      </c>
    </row>
    <row r="214" spans="1:38" x14ac:dyDescent="0.35">
      <c r="A214" s="1" t="s">
        <v>26</v>
      </c>
      <c r="B214" s="6" t="s">
        <v>39</v>
      </c>
      <c r="C214" s="1">
        <v>13</v>
      </c>
      <c r="D214" s="1" t="s">
        <v>50</v>
      </c>
      <c r="E214" s="2">
        <v>136</v>
      </c>
      <c r="F214" s="2">
        <v>136</v>
      </c>
      <c r="G214" s="2">
        <f t="shared" si="45"/>
        <v>0</v>
      </c>
      <c r="H214" s="3">
        <f>E214*K214</f>
        <v>26384</v>
      </c>
      <c r="I214" s="3">
        <f>F214*L214</f>
        <v>25976</v>
      </c>
      <c r="J214" s="19">
        <f t="shared" si="46"/>
        <v>1.5706806282722512E-2</v>
      </c>
      <c r="K214" s="4">
        <v>194</v>
      </c>
      <c r="L214" s="4">
        <v>191</v>
      </c>
      <c r="M214" s="19">
        <f t="shared" si="47"/>
        <v>1.5706806282722512E-2</v>
      </c>
      <c r="N214" s="3">
        <f>E214*Q214</f>
        <v>5032</v>
      </c>
      <c r="O214" s="3">
        <f>F214*R214</f>
        <v>4488</v>
      </c>
      <c r="P214" s="19">
        <f t="shared" si="48"/>
        <v>0.12121212121212122</v>
      </c>
      <c r="Q214" s="1">
        <v>37</v>
      </c>
      <c r="R214" s="1">
        <v>33</v>
      </c>
      <c r="S214" s="19">
        <f t="shared" si="49"/>
        <v>0.12121212121212122</v>
      </c>
      <c r="T214" s="1">
        <v>5618</v>
      </c>
      <c r="U214" s="1">
        <v>4941</v>
      </c>
      <c r="V214" s="19">
        <f t="shared" si="50"/>
        <v>0.13701679821898402</v>
      </c>
      <c r="W214" s="1">
        <v>33</v>
      </c>
      <c r="X214" s="4">
        <v>34.450000000000003</v>
      </c>
      <c r="Y214" s="19">
        <f t="shared" si="51"/>
        <v>-4.2089985486211984E-2</v>
      </c>
      <c r="Z214" s="5">
        <v>2.8</v>
      </c>
      <c r="AA214" s="17">
        <f>X214/U214</f>
        <v>6.9722728192673552E-3</v>
      </c>
      <c r="AB214" s="17">
        <f>W214/T214</f>
        <v>5.8739765040939839E-3</v>
      </c>
      <c r="AC214" s="17">
        <f t="shared" si="52"/>
        <v>-0.15752342796144056</v>
      </c>
      <c r="AD214" s="18">
        <f>O214/X214</f>
        <v>130.27576197387518</v>
      </c>
      <c r="AE214" s="18">
        <f>N214/W214</f>
        <v>152.4848484848485</v>
      </c>
      <c r="AF214" s="16">
        <f t="shared" si="53"/>
        <v>0.17047750229568426</v>
      </c>
      <c r="AG214">
        <f t="shared" si="54"/>
        <v>136</v>
      </c>
      <c r="AH214">
        <f t="shared" si="55"/>
        <v>136</v>
      </c>
      <c r="AI214" s="16">
        <f t="shared" si="56"/>
        <v>0</v>
      </c>
      <c r="AJ214" s="18">
        <f t="shared" si="57"/>
        <v>5.5920256318974726</v>
      </c>
      <c r="AK214" s="18">
        <f t="shared" si="58"/>
        <v>6.1655535316737504</v>
      </c>
      <c r="AL214" s="15">
        <f t="shared" si="59"/>
        <v>0.83982683982683981</v>
      </c>
    </row>
    <row r="215" spans="1:38" x14ac:dyDescent="0.35">
      <c r="A215" s="1" t="s">
        <v>26</v>
      </c>
      <c r="B215" s="6" t="s">
        <v>40</v>
      </c>
      <c r="C215" s="1">
        <v>14</v>
      </c>
      <c r="D215" s="1" t="s">
        <v>50</v>
      </c>
      <c r="E215" s="2">
        <v>249</v>
      </c>
      <c r="F215" s="2">
        <v>249</v>
      </c>
      <c r="G215" s="2">
        <f t="shared" si="45"/>
        <v>0</v>
      </c>
      <c r="H215" s="3">
        <f>E215*K215</f>
        <v>21165</v>
      </c>
      <c r="I215" s="3">
        <f>F215*L215</f>
        <v>21414</v>
      </c>
      <c r="J215" s="19">
        <f t="shared" si="46"/>
        <v>-1.1627906976744186E-2</v>
      </c>
      <c r="K215" s="4">
        <v>85</v>
      </c>
      <c r="L215" s="4">
        <v>86</v>
      </c>
      <c r="M215" s="19">
        <f t="shared" si="47"/>
        <v>-1.1627906976744186E-2</v>
      </c>
      <c r="N215" s="3">
        <f>E215*Q215</f>
        <v>16932</v>
      </c>
      <c r="O215" s="3">
        <f>F215*R215</f>
        <v>15189</v>
      </c>
      <c r="P215" s="19">
        <f t="shared" si="48"/>
        <v>0.11475409836065574</v>
      </c>
      <c r="Q215" s="1">
        <v>68</v>
      </c>
      <c r="R215" s="1">
        <v>61</v>
      </c>
      <c r="S215" s="19">
        <f t="shared" si="49"/>
        <v>0.11475409836065574</v>
      </c>
      <c r="T215" s="1">
        <v>9567</v>
      </c>
      <c r="U215" s="1">
        <v>8142</v>
      </c>
      <c r="V215" s="19">
        <f t="shared" si="50"/>
        <v>0.17501842299189388</v>
      </c>
      <c r="W215" s="1">
        <v>58</v>
      </c>
      <c r="X215" s="1">
        <v>56</v>
      </c>
      <c r="Y215" s="19">
        <f t="shared" si="51"/>
        <v>3.5714285714285712E-2</v>
      </c>
      <c r="Z215" s="1">
        <v>4.4000000000000004</v>
      </c>
      <c r="AA215" s="17">
        <f>X215/U215</f>
        <v>6.8779169737165314E-3</v>
      </c>
      <c r="AB215" s="17">
        <f>W215/T215</f>
        <v>6.0625065328734186E-3</v>
      </c>
      <c r="AC215" s="17">
        <f t="shared" si="52"/>
        <v>-0.11855485373829687</v>
      </c>
      <c r="AD215" s="18">
        <f>O215/X215</f>
        <v>271.23214285714283</v>
      </c>
      <c r="AE215" s="18">
        <f>N215/W215</f>
        <v>291.93103448275861</v>
      </c>
      <c r="AF215" s="16">
        <f t="shared" si="53"/>
        <v>7.6314301865460746E-2</v>
      </c>
      <c r="AG215">
        <f t="shared" si="54"/>
        <v>249</v>
      </c>
      <c r="AH215">
        <f t="shared" si="55"/>
        <v>249</v>
      </c>
      <c r="AI215" s="16">
        <f t="shared" si="56"/>
        <v>0</v>
      </c>
      <c r="AJ215" s="18">
        <f t="shared" si="57"/>
        <v>3.9821260583254938</v>
      </c>
      <c r="AK215" s="18">
        <f t="shared" si="58"/>
        <v>4.4955784819454676</v>
      </c>
      <c r="AL215" s="15">
        <f t="shared" si="59"/>
        <v>0.55555555555555558</v>
      </c>
    </row>
    <row r="216" spans="1:38" x14ac:dyDescent="0.35">
      <c r="A216" s="1" t="s">
        <v>26</v>
      </c>
      <c r="B216" s="6" t="s">
        <v>41</v>
      </c>
      <c r="C216" s="1">
        <v>15</v>
      </c>
      <c r="D216" s="1" t="s">
        <v>50</v>
      </c>
      <c r="E216" s="2">
        <v>155</v>
      </c>
      <c r="F216" s="2">
        <v>155</v>
      </c>
      <c r="G216" s="2">
        <f t="shared" si="45"/>
        <v>0</v>
      </c>
      <c r="H216" s="3">
        <f>E216*K216</f>
        <v>12400</v>
      </c>
      <c r="I216" s="3">
        <f>F216*L216</f>
        <v>11625</v>
      </c>
      <c r="J216" s="19">
        <f t="shared" si="46"/>
        <v>6.6666666666666666E-2</v>
      </c>
      <c r="K216" s="4">
        <v>80</v>
      </c>
      <c r="L216" s="4">
        <v>75</v>
      </c>
      <c r="M216" s="19">
        <f t="shared" si="47"/>
        <v>6.6666666666666666E-2</v>
      </c>
      <c r="N216" s="3">
        <f>E216*Q216</f>
        <v>9145</v>
      </c>
      <c r="O216" s="3">
        <f>F216*R216</f>
        <v>8370</v>
      </c>
      <c r="P216" s="19">
        <f t="shared" si="48"/>
        <v>9.2592592592592587E-2</v>
      </c>
      <c r="Q216" s="1">
        <v>59</v>
      </c>
      <c r="R216" s="1">
        <v>54</v>
      </c>
      <c r="S216" s="19">
        <f t="shared" si="49"/>
        <v>9.2592592592592587E-2</v>
      </c>
      <c r="T216" s="1">
        <v>5294</v>
      </c>
      <c r="U216" s="1">
        <v>4457</v>
      </c>
      <c r="V216" s="19">
        <f t="shared" si="50"/>
        <v>0.18779448059232667</v>
      </c>
      <c r="W216" s="1">
        <v>49</v>
      </c>
      <c r="X216" s="4">
        <v>49.58</v>
      </c>
      <c r="Y216" s="19">
        <f t="shared" si="51"/>
        <v>-1.169826542960868E-2</v>
      </c>
      <c r="Z216" s="5">
        <v>4.3</v>
      </c>
      <c r="AA216" s="17">
        <f>X216/U216</f>
        <v>1.1124074489566973E-2</v>
      </c>
      <c r="AB216" s="17">
        <f>W216/T216</f>
        <v>9.2557612391386476E-3</v>
      </c>
      <c r="AC216" s="17">
        <f t="shared" si="52"/>
        <v>-0.16795224197577746</v>
      </c>
      <c r="AD216" s="18">
        <f>O216/X216</f>
        <v>168.81807180314644</v>
      </c>
      <c r="AE216" s="18">
        <f>N216/W216</f>
        <v>186.63265306122449</v>
      </c>
      <c r="AF216" s="16">
        <f t="shared" si="53"/>
        <v>0.1055253212396069</v>
      </c>
      <c r="AG216">
        <f t="shared" si="54"/>
        <v>155</v>
      </c>
      <c r="AH216">
        <f t="shared" si="55"/>
        <v>155</v>
      </c>
      <c r="AI216" s="16">
        <f t="shared" si="56"/>
        <v>0</v>
      </c>
      <c r="AJ216" s="18">
        <f t="shared" si="57"/>
        <v>4.0697015489233097</v>
      </c>
      <c r="AK216" s="18">
        <f t="shared" si="58"/>
        <v>4.4862014808166926</v>
      </c>
      <c r="AL216" s="15">
        <f t="shared" si="59"/>
        <v>0.57553956834532372</v>
      </c>
    </row>
    <row r="217" spans="1:38" x14ac:dyDescent="0.35">
      <c r="A217" s="1" t="s">
        <v>26</v>
      </c>
      <c r="B217" s="6" t="s">
        <v>42</v>
      </c>
      <c r="C217" s="1">
        <v>16</v>
      </c>
      <c r="D217" s="1" t="s">
        <v>50</v>
      </c>
      <c r="E217" s="2">
        <v>627</v>
      </c>
      <c r="F217" s="2">
        <v>627</v>
      </c>
      <c r="G217" s="2">
        <f t="shared" si="45"/>
        <v>0</v>
      </c>
      <c r="H217" s="3">
        <f>E217*K217</f>
        <v>102828</v>
      </c>
      <c r="I217" s="3">
        <f>F217*L217</f>
        <v>105336</v>
      </c>
      <c r="J217" s="19">
        <f t="shared" si="46"/>
        <v>-2.3809523809523808E-2</v>
      </c>
      <c r="K217" s="4">
        <v>164</v>
      </c>
      <c r="L217" s="4">
        <v>168</v>
      </c>
      <c r="M217" s="19">
        <f t="shared" si="47"/>
        <v>-2.3809523809523808E-2</v>
      </c>
      <c r="N217" s="3">
        <f>E217*Q217</f>
        <v>80256</v>
      </c>
      <c r="O217" s="3">
        <f>F217*R217</f>
        <v>72732</v>
      </c>
      <c r="P217" s="19">
        <f t="shared" si="48"/>
        <v>0.10344827586206896</v>
      </c>
      <c r="Q217" s="1">
        <v>128</v>
      </c>
      <c r="R217" s="1">
        <v>116</v>
      </c>
      <c r="S217" s="19">
        <f t="shared" si="49"/>
        <v>0.10344827586206896</v>
      </c>
      <c r="T217" s="1">
        <v>4867</v>
      </c>
      <c r="U217" s="1">
        <v>4599</v>
      </c>
      <c r="V217" s="19">
        <f t="shared" si="50"/>
        <v>5.8273537725592517E-2</v>
      </c>
      <c r="W217" s="1">
        <v>118</v>
      </c>
      <c r="X217" s="1">
        <v>111</v>
      </c>
      <c r="Y217" s="19">
        <f t="shared" si="51"/>
        <v>6.3063063063063057E-2</v>
      </c>
      <c r="Z217" s="1">
        <v>4.8</v>
      </c>
      <c r="AA217" s="17">
        <f>X217/U217</f>
        <v>2.4135681669928244E-2</v>
      </c>
      <c r="AB217" s="17">
        <f>W217/T217</f>
        <v>2.424491473186768E-2</v>
      </c>
      <c r="AC217" s="17">
        <f t="shared" si="52"/>
        <v>4.5257914581934081E-3</v>
      </c>
      <c r="AD217" s="18">
        <f>O217/X217</f>
        <v>655.24324324324323</v>
      </c>
      <c r="AE217" s="18">
        <f>N217/W217</f>
        <v>680.13559322033893</v>
      </c>
      <c r="AF217" s="16">
        <f t="shared" si="53"/>
        <v>3.7989479836352959E-2</v>
      </c>
      <c r="AG217">
        <f t="shared" si="54"/>
        <v>627</v>
      </c>
      <c r="AH217">
        <f t="shared" si="55"/>
        <v>627</v>
      </c>
      <c r="AI217" s="16">
        <f t="shared" si="56"/>
        <v>0</v>
      </c>
      <c r="AJ217" s="18">
        <f t="shared" si="57"/>
        <v>37.617423464146292</v>
      </c>
      <c r="AK217" s="18">
        <f t="shared" si="58"/>
        <v>38.718851924331375</v>
      </c>
      <c r="AL217" s="15">
        <f t="shared" si="59"/>
        <v>0.56164383561643838</v>
      </c>
    </row>
    <row r="218" spans="1:38" x14ac:dyDescent="0.35">
      <c r="A218" s="1" t="s">
        <v>26</v>
      </c>
      <c r="B218" s="6" t="s">
        <v>43</v>
      </c>
      <c r="C218" s="1">
        <v>17</v>
      </c>
      <c r="D218" s="1" t="s">
        <v>50</v>
      </c>
      <c r="E218" s="2">
        <v>179</v>
      </c>
      <c r="F218" s="2">
        <v>169</v>
      </c>
      <c r="G218" s="2">
        <f t="shared" si="45"/>
        <v>10</v>
      </c>
      <c r="H218" s="3">
        <f>E218*K218</f>
        <v>33831</v>
      </c>
      <c r="I218" s="3">
        <f>F218*L218</f>
        <v>28899</v>
      </c>
      <c r="J218" s="19">
        <f t="shared" si="46"/>
        <v>0.17066334475241357</v>
      </c>
      <c r="K218" s="4">
        <v>189</v>
      </c>
      <c r="L218" s="4">
        <v>171</v>
      </c>
      <c r="M218" s="19">
        <f t="shared" si="47"/>
        <v>0.10526315789473684</v>
      </c>
      <c r="N218" s="3">
        <f>E218*Q218</f>
        <v>9308</v>
      </c>
      <c r="O218" s="3">
        <f>F218*R218</f>
        <v>8112</v>
      </c>
      <c r="P218" s="19">
        <f t="shared" si="48"/>
        <v>0.14743589743589744</v>
      </c>
      <c r="Q218" s="1">
        <v>52</v>
      </c>
      <c r="R218" s="1">
        <v>48</v>
      </c>
      <c r="S218" s="19">
        <f t="shared" si="49"/>
        <v>8.3333333333333329E-2</v>
      </c>
      <c r="T218" s="1">
        <v>10104</v>
      </c>
      <c r="U218" s="1">
        <v>10761</v>
      </c>
      <c r="V218" s="19">
        <f t="shared" si="50"/>
        <v>-6.1053805408419294E-2</v>
      </c>
      <c r="W218" s="1">
        <v>42</v>
      </c>
      <c r="X218" s="4">
        <v>40.799999999999997</v>
      </c>
      <c r="Y218" s="19">
        <f t="shared" si="51"/>
        <v>2.9411764705882425E-2</v>
      </c>
      <c r="Z218" s="1">
        <v>4.7</v>
      </c>
      <c r="AA218" s="17">
        <f>X218/U218</f>
        <v>3.7914691943127959E-3</v>
      </c>
      <c r="AB218" s="17">
        <f>W218/T218</f>
        <v>4.1567695961995249E-3</v>
      </c>
      <c r="AC218" s="17">
        <f t="shared" si="52"/>
        <v>9.6347980997624788E-2</v>
      </c>
      <c r="AD218" s="18">
        <f>O218/X218</f>
        <v>198.82352941176472</v>
      </c>
      <c r="AE218" s="18">
        <f>N218/W218</f>
        <v>221.61904761904762</v>
      </c>
      <c r="AF218" s="16">
        <f t="shared" si="53"/>
        <v>0.11465201465201455</v>
      </c>
      <c r="AG218">
        <f t="shared" si="54"/>
        <v>169</v>
      </c>
      <c r="AH218">
        <f t="shared" si="55"/>
        <v>179</v>
      </c>
      <c r="AI218" s="16">
        <f t="shared" si="56"/>
        <v>5.9171597633136092E-2</v>
      </c>
      <c r="AJ218" s="18">
        <f t="shared" si="57"/>
        <v>4.2694972288202688</v>
      </c>
      <c r="AK218" s="18">
        <f t="shared" si="58"/>
        <v>3.4393643713409534</v>
      </c>
      <c r="AL218" s="15">
        <f t="shared" si="59"/>
        <v>0.78423236514522821</v>
      </c>
    </row>
    <row r="219" spans="1:38" x14ac:dyDescent="0.35">
      <c r="A219" s="1" t="s">
        <v>26</v>
      </c>
      <c r="B219" s="6" t="s">
        <v>44</v>
      </c>
      <c r="C219" s="1">
        <v>18</v>
      </c>
      <c r="D219" s="1" t="s">
        <v>50</v>
      </c>
      <c r="E219" s="2">
        <v>475</v>
      </c>
      <c r="F219" s="2">
        <v>475</v>
      </c>
      <c r="G219" s="2">
        <f t="shared" si="45"/>
        <v>0</v>
      </c>
      <c r="H219" s="3">
        <f>E219*K219</f>
        <v>27550</v>
      </c>
      <c r="I219" s="3">
        <f>F219*L219</f>
        <v>28025</v>
      </c>
      <c r="J219" s="19">
        <f t="shared" si="46"/>
        <v>-1.6949152542372881E-2</v>
      </c>
      <c r="K219" s="4">
        <v>58</v>
      </c>
      <c r="L219" s="4">
        <v>59</v>
      </c>
      <c r="M219" s="19">
        <f t="shared" si="47"/>
        <v>-1.6949152542372881E-2</v>
      </c>
      <c r="N219" s="3">
        <f>E219*Q219</f>
        <v>43700</v>
      </c>
      <c r="O219" s="3">
        <f>F219*R219</f>
        <v>40375</v>
      </c>
      <c r="P219" s="19">
        <f t="shared" si="48"/>
        <v>8.2352941176470587E-2</v>
      </c>
      <c r="Q219" s="1">
        <v>92</v>
      </c>
      <c r="R219" s="1">
        <v>85</v>
      </c>
      <c r="S219" s="19">
        <f t="shared" si="49"/>
        <v>8.2352941176470587E-2</v>
      </c>
      <c r="T219" s="1">
        <v>7509</v>
      </c>
      <c r="U219" s="1">
        <v>7201</v>
      </c>
      <c r="V219" s="19">
        <f t="shared" si="50"/>
        <v>4.277183724482711E-2</v>
      </c>
      <c r="W219" s="1">
        <v>82</v>
      </c>
      <c r="X219" s="4">
        <v>73.5</v>
      </c>
      <c r="Y219" s="19">
        <f t="shared" si="51"/>
        <v>0.11564625850340136</v>
      </c>
      <c r="Z219" s="1">
        <v>4.3</v>
      </c>
      <c r="AA219" s="17">
        <f>X219/U219</f>
        <v>1.0206915706151924E-2</v>
      </c>
      <c r="AB219" s="17">
        <f>W219/T219</f>
        <v>1.0920229058463177E-2</v>
      </c>
      <c r="AC219" s="17">
        <f t="shared" si="52"/>
        <v>6.9885298639365087E-2</v>
      </c>
      <c r="AD219" s="18">
        <f>O219/X219</f>
        <v>549.3197278911565</v>
      </c>
      <c r="AE219" s="18">
        <f>N219/W219</f>
        <v>532.92682926829264</v>
      </c>
      <c r="AF219" s="16">
        <f t="shared" si="53"/>
        <v>-2.9842180774749084E-2</v>
      </c>
      <c r="AG219">
        <f t="shared" si="54"/>
        <v>475</v>
      </c>
      <c r="AH219">
        <f t="shared" si="55"/>
        <v>475</v>
      </c>
      <c r="AI219" s="16">
        <f t="shared" si="56"/>
        <v>0</v>
      </c>
      <c r="AJ219" s="18">
        <f t="shared" si="57"/>
        <v>9.488613663603676</v>
      </c>
      <c r="AK219" s="18">
        <f t="shared" si="58"/>
        <v>9.4986807387862804</v>
      </c>
      <c r="AL219" s="15">
        <f t="shared" si="59"/>
        <v>0.38666666666666666</v>
      </c>
    </row>
    <row r="220" spans="1:38" x14ac:dyDescent="0.35">
      <c r="A220" s="1" t="s">
        <v>26</v>
      </c>
      <c r="B220" s="6" t="s">
        <v>45</v>
      </c>
      <c r="C220" s="1">
        <v>19</v>
      </c>
      <c r="D220" s="1" t="s">
        <v>50</v>
      </c>
      <c r="E220" s="2">
        <v>180</v>
      </c>
      <c r="F220" s="2">
        <v>160</v>
      </c>
      <c r="G220" s="2">
        <f t="shared" si="45"/>
        <v>20</v>
      </c>
      <c r="H220" s="3">
        <f>E220*K220</f>
        <v>36180</v>
      </c>
      <c r="I220" s="3">
        <f>F220*L220</f>
        <v>30080</v>
      </c>
      <c r="J220" s="19">
        <f t="shared" si="46"/>
        <v>0.20279255319148937</v>
      </c>
      <c r="K220" s="4">
        <v>201</v>
      </c>
      <c r="L220" s="4">
        <v>188</v>
      </c>
      <c r="M220" s="19">
        <f t="shared" si="47"/>
        <v>6.9148936170212769E-2</v>
      </c>
      <c r="N220" s="3">
        <f>E220*Q220</f>
        <v>16380</v>
      </c>
      <c r="O220" s="3">
        <f>F220*R220</f>
        <v>14080</v>
      </c>
      <c r="P220" s="19">
        <f t="shared" si="48"/>
        <v>0.16335227272727273</v>
      </c>
      <c r="Q220" s="1">
        <v>91</v>
      </c>
      <c r="R220" s="1">
        <v>88</v>
      </c>
      <c r="S220" s="19">
        <f t="shared" si="49"/>
        <v>3.4090909090909088E-2</v>
      </c>
      <c r="T220" s="1">
        <v>12187</v>
      </c>
      <c r="U220" s="1">
        <v>11847</v>
      </c>
      <c r="V220" s="19">
        <f t="shared" si="50"/>
        <v>2.8699248754959061E-2</v>
      </c>
      <c r="W220" s="1">
        <v>81</v>
      </c>
      <c r="X220" s="1">
        <v>83</v>
      </c>
      <c r="Y220" s="19">
        <f t="shared" si="51"/>
        <v>-2.4096385542168676E-2</v>
      </c>
      <c r="Z220" s="1">
        <v>4.8</v>
      </c>
      <c r="AA220" s="17">
        <f>X220/U220</f>
        <v>7.0059930784164767E-3</v>
      </c>
      <c r="AB220" s="17">
        <f>W220/T220</f>
        <v>6.6464265200623616E-3</v>
      </c>
      <c r="AC220" s="17">
        <f t="shared" si="52"/>
        <v>-5.1322711046038569E-2</v>
      </c>
      <c r="AD220" s="18">
        <f>O220/X220</f>
        <v>169.63855421686748</v>
      </c>
      <c r="AE220" s="18">
        <f>N220/W220</f>
        <v>202.22222222222223</v>
      </c>
      <c r="AF220" s="16">
        <f t="shared" si="53"/>
        <v>0.19207702020202019</v>
      </c>
      <c r="AG220">
        <f t="shared" si="54"/>
        <v>160</v>
      </c>
      <c r="AH220">
        <f t="shared" si="55"/>
        <v>180</v>
      </c>
      <c r="AI220" s="16">
        <f t="shared" si="56"/>
        <v>0.125</v>
      </c>
      <c r="AJ220" s="18">
        <f t="shared" si="57"/>
        <v>4.3127923196849105</v>
      </c>
      <c r="AK220" s="18">
        <f t="shared" si="58"/>
        <v>3.7275259559382121</v>
      </c>
      <c r="AL220" s="15">
        <f t="shared" si="59"/>
        <v>0.68835616438356162</v>
      </c>
    </row>
    <row r="221" spans="1:38" x14ac:dyDescent="0.35">
      <c r="A221" s="1" t="s">
        <v>26</v>
      </c>
      <c r="B221" s="6" t="s">
        <v>46</v>
      </c>
      <c r="C221" s="1">
        <v>20</v>
      </c>
      <c r="D221" s="1" t="s">
        <v>50</v>
      </c>
      <c r="E221" s="2">
        <v>475</v>
      </c>
      <c r="F221" s="2">
        <v>475</v>
      </c>
      <c r="G221" s="2">
        <f t="shared" si="45"/>
        <v>0</v>
      </c>
      <c r="H221" s="3">
        <f>E221*K221</f>
        <v>39900</v>
      </c>
      <c r="I221" s="3">
        <f>F221*L221</f>
        <v>36100</v>
      </c>
      <c r="J221" s="19">
        <f t="shared" si="46"/>
        <v>0.10526315789473684</v>
      </c>
      <c r="K221" s="4">
        <v>84</v>
      </c>
      <c r="L221" s="4">
        <v>76</v>
      </c>
      <c r="M221" s="19">
        <f t="shared" si="47"/>
        <v>0.10526315789473684</v>
      </c>
      <c r="N221" s="3">
        <f>E221*Q221</f>
        <v>48925</v>
      </c>
      <c r="O221" s="3">
        <f>F221*R221</f>
        <v>48925</v>
      </c>
      <c r="P221" s="19">
        <f t="shared" si="48"/>
        <v>0</v>
      </c>
      <c r="Q221" s="1">
        <v>103</v>
      </c>
      <c r="R221" s="1">
        <v>103</v>
      </c>
      <c r="S221" s="19">
        <f t="shared" si="49"/>
        <v>0</v>
      </c>
      <c r="T221" s="1">
        <v>14818</v>
      </c>
      <c r="U221" s="1">
        <v>15863</v>
      </c>
      <c r="V221" s="19">
        <f t="shared" si="50"/>
        <v>-6.5876568114480241E-2</v>
      </c>
      <c r="W221" s="1">
        <v>93</v>
      </c>
      <c r="X221" s="1">
        <v>98</v>
      </c>
      <c r="Y221" s="19">
        <f t="shared" si="51"/>
        <v>-5.1020408163265307E-2</v>
      </c>
      <c r="Z221" s="5">
        <v>4.2</v>
      </c>
      <c r="AA221" s="17">
        <f>X221/U221</f>
        <v>6.1778982537981468E-3</v>
      </c>
      <c r="AB221" s="17">
        <f>W221/T221</f>
        <v>6.2761506276150627E-3</v>
      </c>
      <c r="AC221" s="17">
        <f t="shared" si="52"/>
        <v>1.590385108018098E-2</v>
      </c>
      <c r="AD221" s="18">
        <f>O221/X221</f>
        <v>499.23469387755102</v>
      </c>
      <c r="AE221" s="18">
        <f>N221/W221</f>
        <v>526.07526881720435</v>
      </c>
      <c r="AF221" s="16">
        <f t="shared" si="53"/>
        <v>5.3763440860215138E-2</v>
      </c>
      <c r="AG221">
        <f t="shared" si="54"/>
        <v>475</v>
      </c>
      <c r="AH221">
        <f t="shared" si="55"/>
        <v>475</v>
      </c>
      <c r="AI221" s="16">
        <f t="shared" si="56"/>
        <v>0</v>
      </c>
      <c r="AJ221" s="18">
        <f t="shared" si="57"/>
        <v>5.9943987042785798</v>
      </c>
      <c r="AK221" s="18">
        <f t="shared" si="58"/>
        <v>5.3599571329508917</v>
      </c>
      <c r="AL221" s="15">
        <f t="shared" si="59"/>
        <v>0.44919786096256686</v>
      </c>
    </row>
    <row r="222" spans="1:38" x14ac:dyDescent="0.35">
      <c r="A222" s="1" t="s">
        <v>27</v>
      </c>
      <c r="B222" s="1" t="s">
        <v>16</v>
      </c>
      <c r="C222" s="1">
        <v>1</v>
      </c>
      <c r="D222" s="1" t="s">
        <v>48</v>
      </c>
      <c r="E222" s="2">
        <v>249</v>
      </c>
      <c r="F222" s="2">
        <v>229</v>
      </c>
      <c r="G222" s="2">
        <f t="shared" si="45"/>
        <v>20</v>
      </c>
      <c r="H222" s="3">
        <f>E222*K222</f>
        <v>43824</v>
      </c>
      <c r="I222" s="3">
        <f>F222*L222</f>
        <v>38701</v>
      </c>
      <c r="J222" s="19">
        <f t="shared" si="46"/>
        <v>0.13237384046923853</v>
      </c>
      <c r="K222" s="4">
        <v>176</v>
      </c>
      <c r="L222" s="4">
        <v>169</v>
      </c>
      <c r="M222" s="19">
        <f t="shared" si="47"/>
        <v>4.142011834319527E-2</v>
      </c>
      <c r="N222" s="3">
        <f>E222*Q222</f>
        <v>14691</v>
      </c>
      <c r="O222" s="3">
        <f>F222*R222</f>
        <v>12137</v>
      </c>
      <c r="P222" s="19">
        <f t="shared" si="48"/>
        <v>0.21043091373486034</v>
      </c>
      <c r="Q222" s="1">
        <v>59</v>
      </c>
      <c r="R222" s="1">
        <v>53</v>
      </c>
      <c r="S222" s="19">
        <f t="shared" si="49"/>
        <v>0.11320754716981132</v>
      </c>
      <c r="T222" s="1">
        <v>4818</v>
      </c>
      <c r="U222" s="1">
        <v>4498</v>
      </c>
      <c r="V222" s="19">
        <f t="shared" si="50"/>
        <v>7.1142730102267668E-2</v>
      </c>
      <c r="W222" s="1">
        <v>49</v>
      </c>
      <c r="X222" s="1">
        <v>48</v>
      </c>
      <c r="Y222" s="19">
        <f t="shared" si="51"/>
        <v>2.0833333333333332E-2</v>
      </c>
      <c r="Z222" s="5">
        <v>2.8</v>
      </c>
      <c r="AA222" s="17">
        <f>X222/U222</f>
        <v>1.0671409515340151E-2</v>
      </c>
      <c r="AB222" s="17">
        <f>W222/T222</f>
        <v>1.0170195101701951E-2</v>
      </c>
      <c r="AC222" s="17">
        <f t="shared" si="52"/>
        <v>-4.6967967344679652E-2</v>
      </c>
      <c r="AD222" s="18">
        <f>O222/X222</f>
        <v>252.85416666666666</v>
      </c>
      <c r="AE222" s="18">
        <f>N222/W222</f>
        <v>299.81632653061223</v>
      </c>
      <c r="AF222" s="16">
        <f t="shared" si="53"/>
        <v>0.18572824202598562</v>
      </c>
      <c r="AG222">
        <f t="shared" si="54"/>
        <v>229</v>
      </c>
      <c r="AH222">
        <f t="shared" si="55"/>
        <v>249</v>
      </c>
      <c r="AI222" s="16">
        <f t="shared" si="56"/>
        <v>8.7336244541484712E-2</v>
      </c>
      <c r="AJ222" s="18">
        <f t="shared" si="57"/>
        <v>12.145080946450809</v>
      </c>
      <c r="AK222" s="18">
        <f t="shared" si="58"/>
        <v>11.302356602934637</v>
      </c>
      <c r="AL222" s="15">
        <f t="shared" si="59"/>
        <v>0.74893617021276593</v>
      </c>
    </row>
    <row r="223" spans="1:38" x14ac:dyDescent="0.35">
      <c r="A223" s="1" t="s">
        <v>27</v>
      </c>
      <c r="B223" s="6" t="s">
        <v>28</v>
      </c>
      <c r="C223" s="1">
        <v>2</v>
      </c>
      <c r="D223" s="1" t="s">
        <v>48</v>
      </c>
      <c r="E223" s="2">
        <v>354</v>
      </c>
      <c r="F223" s="2">
        <v>354</v>
      </c>
      <c r="G223" s="2">
        <f t="shared" si="45"/>
        <v>0</v>
      </c>
      <c r="H223" s="3">
        <f>E223*K223</f>
        <v>38586</v>
      </c>
      <c r="I223" s="3">
        <f>F223*L223</f>
        <v>35754</v>
      </c>
      <c r="J223" s="19">
        <f t="shared" si="46"/>
        <v>7.9207920792079209E-2</v>
      </c>
      <c r="K223" s="4">
        <v>109</v>
      </c>
      <c r="L223" s="4">
        <v>101</v>
      </c>
      <c r="M223" s="19">
        <f t="shared" si="47"/>
        <v>7.9207920792079209E-2</v>
      </c>
      <c r="N223" s="3">
        <f>E223*Q223</f>
        <v>32568</v>
      </c>
      <c r="O223" s="3">
        <f>F223*R223</f>
        <v>30798</v>
      </c>
      <c r="P223" s="19">
        <f t="shared" si="48"/>
        <v>5.7471264367816091E-2</v>
      </c>
      <c r="Q223" s="1">
        <v>92</v>
      </c>
      <c r="R223" s="1">
        <v>87</v>
      </c>
      <c r="S223" s="19">
        <f t="shared" si="49"/>
        <v>5.7471264367816091E-2</v>
      </c>
      <c r="T223" s="1">
        <v>10678</v>
      </c>
      <c r="U223" s="1">
        <v>9202</v>
      </c>
      <c r="V223" s="19">
        <f t="shared" si="50"/>
        <v>0.16039991306237775</v>
      </c>
      <c r="W223" s="1">
        <v>82</v>
      </c>
      <c r="X223" s="1">
        <v>82</v>
      </c>
      <c r="Y223" s="19">
        <f t="shared" si="51"/>
        <v>0</v>
      </c>
      <c r="Z223" s="5">
        <v>3.5999999999999996</v>
      </c>
      <c r="AA223" s="17">
        <f>X223/U223</f>
        <v>8.9111062812432078E-3</v>
      </c>
      <c r="AB223" s="17">
        <f>W223/T223</f>
        <v>7.6793407005057131E-3</v>
      </c>
      <c r="AC223" s="17">
        <f t="shared" si="52"/>
        <v>-0.13822813260910277</v>
      </c>
      <c r="AD223" s="18">
        <f>O223/X223</f>
        <v>375.58536585365852</v>
      </c>
      <c r="AE223" s="18">
        <f>N223/W223</f>
        <v>397.17073170731709</v>
      </c>
      <c r="AF223" s="16">
        <f t="shared" si="53"/>
        <v>5.7471264367816188E-2</v>
      </c>
      <c r="AG223">
        <f t="shared" si="54"/>
        <v>354</v>
      </c>
      <c r="AH223">
        <f t="shared" si="55"/>
        <v>354</v>
      </c>
      <c r="AI223" s="16">
        <f t="shared" si="56"/>
        <v>0</v>
      </c>
      <c r="AJ223" s="18">
        <f t="shared" si="57"/>
        <v>6.6636074171193105</v>
      </c>
      <c r="AK223" s="18">
        <f t="shared" si="58"/>
        <v>7.232340795479244</v>
      </c>
      <c r="AL223" s="15">
        <f t="shared" si="59"/>
        <v>0.54228855721393032</v>
      </c>
    </row>
    <row r="224" spans="1:38" x14ac:dyDescent="0.35">
      <c r="A224" s="1" t="s">
        <v>27</v>
      </c>
      <c r="B224" s="6" t="s">
        <v>29</v>
      </c>
      <c r="C224" s="1">
        <v>3</v>
      </c>
      <c r="D224" s="1" t="s">
        <v>48</v>
      </c>
      <c r="E224" s="2">
        <v>198</v>
      </c>
      <c r="F224" s="2">
        <v>198</v>
      </c>
      <c r="G224" s="2">
        <f t="shared" si="45"/>
        <v>0</v>
      </c>
      <c r="H224" s="3">
        <f>E224*K224</f>
        <v>33066</v>
      </c>
      <c r="I224" s="3">
        <f>F224*L224</f>
        <v>32076</v>
      </c>
      <c r="J224" s="19">
        <f t="shared" si="46"/>
        <v>3.0864197530864196E-2</v>
      </c>
      <c r="K224" s="4">
        <v>167</v>
      </c>
      <c r="L224" s="4">
        <v>162</v>
      </c>
      <c r="M224" s="19">
        <f t="shared" si="47"/>
        <v>3.0864197530864196E-2</v>
      </c>
      <c r="N224" s="3">
        <f>E224*Q224</f>
        <v>22374</v>
      </c>
      <c r="O224" s="3">
        <f>F224*R224</f>
        <v>22968</v>
      </c>
      <c r="P224" s="19">
        <f t="shared" si="48"/>
        <v>-2.5862068965517241E-2</v>
      </c>
      <c r="Q224" s="1">
        <v>113</v>
      </c>
      <c r="R224" s="1">
        <v>116</v>
      </c>
      <c r="S224" s="19">
        <f t="shared" si="49"/>
        <v>-2.5862068965517241E-2</v>
      </c>
      <c r="T224" s="1">
        <v>4313</v>
      </c>
      <c r="U224" s="1">
        <v>4340</v>
      </c>
      <c r="V224" s="19">
        <f t="shared" si="50"/>
        <v>-6.2211981566820274E-3</v>
      </c>
      <c r="W224" s="1">
        <v>103</v>
      </c>
      <c r="X224" s="1">
        <v>111</v>
      </c>
      <c r="Y224" s="19">
        <f t="shared" si="51"/>
        <v>-7.2072072072072071E-2</v>
      </c>
      <c r="Z224" s="5">
        <v>2.5</v>
      </c>
      <c r="AA224" s="17">
        <f>X224/U224</f>
        <v>2.5576036866359446E-2</v>
      </c>
      <c r="AB224" s="17">
        <f>W224/T224</f>
        <v>2.3881289125898448E-2</v>
      </c>
      <c r="AC224" s="17">
        <f t="shared" si="52"/>
        <v>-6.6263109852258847E-2</v>
      </c>
      <c r="AD224" s="18">
        <f>O224/X224</f>
        <v>206.91891891891891</v>
      </c>
      <c r="AE224" s="18">
        <f>N224/W224</f>
        <v>217.22330097087379</v>
      </c>
      <c r="AF224" s="16">
        <f t="shared" si="53"/>
        <v>4.9799129561432981E-2</v>
      </c>
      <c r="AG224">
        <f t="shared" si="54"/>
        <v>198</v>
      </c>
      <c r="AH224">
        <f t="shared" si="55"/>
        <v>198</v>
      </c>
      <c r="AI224" s="16">
        <f t="shared" si="56"/>
        <v>0</v>
      </c>
      <c r="AJ224" s="18">
        <f t="shared" si="57"/>
        <v>12.854161836308833</v>
      </c>
      <c r="AK224" s="18">
        <f t="shared" si="58"/>
        <v>12.682949308755761</v>
      </c>
      <c r="AL224" s="15">
        <f t="shared" si="59"/>
        <v>0.59642857142857142</v>
      </c>
    </row>
    <row r="225" spans="1:38" x14ac:dyDescent="0.35">
      <c r="A225" s="1" t="s">
        <v>27</v>
      </c>
      <c r="B225" s="6" t="s">
        <v>30</v>
      </c>
      <c r="C225" s="1">
        <v>4</v>
      </c>
      <c r="D225" s="1" t="s">
        <v>48</v>
      </c>
      <c r="E225" s="2">
        <v>150</v>
      </c>
      <c r="F225" s="2">
        <v>149</v>
      </c>
      <c r="G225" s="2">
        <f t="shared" si="45"/>
        <v>1</v>
      </c>
      <c r="H225" s="3">
        <f>E225*K225</f>
        <v>28350</v>
      </c>
      <c r="I225" s="3">
        <f>F225*L225</f>
        <v>26075</v>
      </c>
      <c r="J225" s="19">
        <f t="shared" si="46"/>
        <v>8.7248322147651006E-2</v>
      </c>
      <c r="K225" s="4">
        <v>189</v>
      </c>
      <c r="L225" s="4">
        <v>175</v>
      </c>
      <c r="M225" s="19">
        <f t="shared" si="47"/>
        <v>0.08</v>
      </c>
      <c r="N225" s="3">
        <f>E225*Q225</f>
        <v>14100</v>
      </c>
      <c r="O225" s="3">
        <f>F225*R225</f>
        <v>14006</v>
      </c>
      <c r="P225" s="19">
        <f t="shared" si="48"/>
        <v>6.7114093959731542E-3</v>
      </c>
      <c r="Q225" s="1">
        <v>94</v>
      </c>
      <c r="R225" s="1">
        <v>94</v>
      </c>
      <c r="S225" s="19">
        <f t="shared" si="49"/>
        <v>0</v>
      </c>
      <c r="T225" s="1">
        <v>9862</v>
      </c>
      <c r="U225" s="1">
        <v>10555</v>
      </c>
      <c r="V225" s="19">
        <f t="shared" si="50"/>
        <v>-6.5656087162482238E-2</v>
      </c>
      <c r="W225" s="1">
        <v>84</v>
      </c>
      <c r="X225" s="1">
        <v>89</v>
      </c>
      <c r="Y225" s="19">
        <f t="shared" si="51"/>
        <v>-5.6179775280898875E-2</v>
      </c>
      <c r="Z225" s="5">
        <v>4</v>
      </c>
      <c r="AA225" s="17">
        <f>X225/U225</f>
        <v>8.4320227380388444E-3</v>
      </c>
      <c r="AB225" s="17">
        <f>W225/T225</f>
        <v>8.5175420807138517E-3</v>
      </c>
      <c r="AC225" s="17">
        <f t="shared" si="52"/>
        <v>1.0142209684659578E-2</v>
      </c>
      <c r="AD225" s="18">
        <f>O225/X225</f>
        <v>157.37078651685394</v>
      </c>
      <c r="AE225" s="18">
        <f>N225/W225</f>
        <v>167.85714285714286</v>
      </c>
      <c r="AF225" s="16">
        <f t="shared" si="53"/>
        <v>6.6634707574304869E-2</v>
      </c>
      <c r="AG225">
        <f t="shared" si="54"/>
        <v>149</v>
      </c>
      <c r="AH225">
        <f t="shared" si="55"/>
        <v>150</v>
      </c>
      <c r="AI225" s="16">
        <f t="shared" si="56"/>
        <v>6.7114093959731542E-3</v>
      </c>
      <c r="AJ225" s="18">
        <f t="shared" si="57"/>
        <v>4.3044007300750353</v>
      </c>
      <c r="AK225" s="18">
        <f t="shared" si="58"/>
        <v>3.7973472288015158</v>
      </c>
      <c r="AL225" s="15">
        <f t="shared" si="59"/>
        <v>0.66784452296819785</v>
      </c>
    </row>
    <row r="226" spans="1:38" x14ac:dyDescent="0.35">
      <c r="A226" s="1" t="s">
        <v>27</v>
      </c>
      <c r="B226" s="6" t="s">
        <v>31</v>
      </c>
      <c r="C226" s="1">
        <v>5</v>
      </c>
      <c r="D226" s="1" t="s">
        <v>48</v>
      </c>
      <c r="E226" s="2">
        <v>506</v>
      </c>
      <c r="F226" s="2">
        <v>499.9</v>
      </c>
      <c r="G226" s="2">
        <f t="shared" si="45"/>
        <v>6.1000000000000227</v>
      </c>
      <c r="H226" s="3">
        <f>E226*K226</f>
        <v>37950</v>
      </c>
      <c r="I226" s="3">
        <f>F226*L226</f>
        <v>34493.1</v>
      </c>
      <c r="J226" s="19">
        <f t="shared" si="46"/>
        <v>0.1002200440088018</v>
      </c>
      <c r="K226" s="4">
        <v>75</v>
      </c>
      <c r="L226" s="4">
        <v>69</v>
      </c>
      <c r="M226" s="19">
        <f t="shared" si="47"/>
        <v>8.6956521739130432E-2</v>
      </c>
      <c r="N226" s="3">
        <f>E226*Q226</f>
        <v>44022</v>
      </c>
      <c r="O226" s="3">
        <f>F226*R226</f>
        <v>38992.199999999997</v>
      </c>
      <c r="P226" s="19">
        <f t="shared" si="48"/>
        <v>0.1289950297751859</v>
      </c>
      <c r="Q226" s="1">
        <v>87</v>
      </c>
      <c r="R226" s="1">
        <v>78</v>
      </c>
      <c r="S226" s="19">
        <f t="shared" si="49"/>
        <v>0.11538461538461539</v>
      </c>
      <c r="T226" s="1">
        <v>1699</v>
      </c>
      <c r="U226" s="1">
        <v>1619</v>
      </c>
      <c r="V226" s="19">
        <f t="shared" si="50"/>
        <v>4.9413218035824581E-2</v>
      </c>
      <c r="W226" s="1">
        <v>77</v>
      </c>
      <c r="X226" s="1">
        <v>73</v>
      </c>
      <c r="Y226" s="19">
        <f t="shared" si="51"/>
        <v>5.4794520547945202E-2</v>
      </c>
      <c r="Z226" s="5">
        <v>2.2999999999999998</v>
      </c>
      <c r="AA226" s="17">
        <f>X226/U226</f>
        <v>4.5089561457689935E-2</v>
      </c>
      <c r="AB226" s="17">
        <f>W226/T226</f>
        <v>4.5320776927604473E-2</v>
      </c>
      <c r="AC226" s="17">
        <f t="shared" si="52"/>
        <v>5.1279156957758434E-3</v>
      </c>
      <c r="AD226" s="18">
        <f>O226/X226</f>
        <v>534.13972602739727</v>
      </c>
      <c r="AE226" s="18">
        <f>N226/W226</f>
        <v>571.71428571428567</v>
      </c>
      <c r="AF226" s="16">
        <f t="shared" si="53"/>
        <v>7.0345937319331878E-2</v>
      </c>
      <c r="AG226">
        <f t="shared" si="54"/>
        <v>499.9</v>
      </c>
      <c r="AH226">
        <f t="shared" si="55"/>
        <v>506</v>
      </c>
      <c r="AI226" s="16">
        <f t="shared" si="56"/>
        <v>1.2202440488097665E-2</v>
      </c>
      <c r="AJ226" s="18">
        <f t="shared" si="57"/>
        <v>48.247204237786931</v>
      </c>
      <c r="AK226" s="18">
        <f t="shared" si="58"/>
        <v>45.389314391599747</v>
      </c>
      <c r="AL226" s="15">
        <f t="shared" si="59"/>
        <v>0.46296296296296297</v>
      </c>
    </row>
    <row r="227" spans="1:38" x14ac:dyDescent="0.35">
      <c r="A227" s="1" t="s">
        <v>27</v>
      </c>
      <c r="B227" s="6" t="s">
        <v>32</v>
      </c>
      <c r="C227" s="1">
        <v>6</v>
      </c>
      <c r="D227" s="1" t="s">
        <v>48</v>
      </c>
      <c r="E227" s="2">
        <v>421</v>
      </c>
      <c r="F227" s="2">
        <v>399</v>
      </c>
      <c r="G227" s="2">
        <f t="shared" si="45"/>
        <v>22</v>
      </c>
      <c r="H227" s="3">
        <f>E227*K227</f>
        <v>52625</v>
      </c>
      <c r="I227" s="3">
        <f>F227*L227</f>
        <v>44688</v>
      </c>
      <c r="J227" s="19">
        <f t="shared" si="46"/>
        <v>0.177609201575367</v>
      </c>
      <c r="K227" s="4">
        <v>125</v>
      </c>
      <c r="L227" s="4">
        <v>112</v>
      </c>
      <c r="M227" s="19">
        <f t="shared" si="47"/>
        <v>0.11607142857142858</v>
      </c>
      <c r="N227" s="3">
        <f>E227*Q227</f>
        <v>50099</v>
      </c>
      <c r="O227" s="3">
        <f>F227*R227</f>
        <v>46284</v>
      </c>
      <c r="P227" s="19">
        <f t="shared" si="48"/>
        <v>8.24258923169994E-2</v>
      </c>
      <c r="Q227" s="1">
        <v>119</v>
      </c>
      <c r="R227" s="1">
        <v>116</v>
      </c>
      <c r="S227" s="19">
        <f t="shared" si="49"/>
        <v>2.5862068965517241E-2</v>
      </c>
      <c r="T227" s="1">
        <v>5716</v>
      </c>
      <c r="U227" s="1">
        <v>5695</v>
      </c>
      <c r="V227" s="19">
        <f t="shared" si="50"/>
        <v>3.6874451273046531E-3</v>
      </c>
      <c r="W227" s="1">
        <v>109</v>
      </c>
      <c r="X227" s="4">
        <v>112.88</v>
      </c>
      <c r="Y227" s="19">
        <f t="shared" si="51"/>
        <v>-3.4372785258681746E-2</v>
      </c>
      <c r="Z227" s="1">
        <v>4.8</v>
      </c>
      <c r="AA227" s="17">
        <f>X227/U227</f>
        <v>1.9820895522388058E-2</v>
      </c>
      <c r="AB227" s="17">
        <f>W227/T227</f>
        <v>1.9069279216235129E-2</v>
      </c>
      <c r="AC227" s="17">
        <f t="shared" si="52"/>
        <v>-3.7920400988137259E-2</v>
      </c>
      <c r="AD227" s="18">
        <f>O227/X227</f>
        <v>410.02834868887317</v>
      </c>
      <c r="AE227" s="18">
        <f>N227/W227</f>
        <v>459.62385321100919</v>
      </c>
      <c r="AF227" s="16">
        <f t="shared" si="53"/>
        <v>0.12095628187837512</v>
      </c>
      <c r="AG227">
        <f t="shared" si="54"/>
        <v>399</v>
      </c>
      <c r="AH227">
        <f t="shared" si="55"/>
        <v>421</v>
      </c>
      <c r="AI227" s="16">
        <f t="shared" si="56"/>
        <v>5.5137844611528819E-2</v>
      </c>
      <c r="AJ227" s="18">
        <f t="shared" si="57"/>
        <v>17.971308607417775</v>
      </c>
      <c r="AK227" s="18">
        <f t="shared" si="58"/>
        <v>15.974012291483758</v>
      </c>
      <c r="AL227" s="15">
        <f t="shared" si="59"/>
        <v>0.51229508196721307</v>
      </c>
    </row>
    <row r="228" spans="1:38" x14ac:dyDescent="0.35">
      <c r="A228" s="1" t="s">
        <v>27</v>
      </c>
      <c r="B228" s="6" t="s">
        <v>33</v>
      </c>
      <c r="C228" s="1">
        <v>7</v>
      </c>
      <c r="D228" s="1" t="s">
        <v>48</v>
      </c>
      <c r="E228" s="2">
        <v>419</v>
      </c>
      <c r="F228" s="2">
        <v>419</v>
      </c>
      <c r="G228" s="2">
        <f t="shared" si="45"/>
        <v>0</v>
      </c>
      <c r="H228" s="3">
        <f>E228*K228</f>
        <v>40643</v>
      </c>
      <c r="I228" s="3">
        <f>F228*L228</f>
        <v>39805</v>
      </c>
      <c r="J228" s="19">
        <f t="shared" si="46"/>
        <v>2.1052631578947368E-2</v>
      </c>
      <c r="K228" s="4">
        <v>97</v>
      </c>
      <c r="L228" s="4">
        <v>95</v>
      </c>
      <c r="M228" s="19">
        <f t="shared" si="47"/>
        <v>2.1052631578947368E-2</v>
      </c>
      <c r="N228" s="3">
        <f>E228*Q228</f>
        <v>25978</v>
      </c>
      <c r="O228" s="3">
        <f>F228*R228</f>
        <v>23464</v>
      </c>
      <c r="P228" s="19">
        <f t="shared" si="48"/>
        <v>0.10714285714285714</v>
      </c>
      <c r="Q228" s="1">
        <v>62</v>
      </c>
      <c r="R228" s="1">
        <v>56</v>
      </c>
      <c r="S228" s="19">
        <f t="shared" si="49"/>
        <v>0.10714285714285714</v>
      </c>
      <c r="T228" s="1">
        <v>2365</v>
      </c>
      <c r="U228" s="1">
        <v>2145</v>
      </c>
      <c r="V228" s="19">
        <f t="shared" si="50"/>
        <v>0.10256410256410256</v>
      </c>
      <c r="W228" s="1">
        <v>52</v>
      </c>
      <c r="X228" s="1">
        <v>51</v>
      </c>
      <c r="Y228" s="19">
        <f t="shared" si="51"/>
        <v>1.9607843137254902E-2</v>
      </c>
      <c r="Z228" s="5">
        <v>4.0999999999999996</v>
      </c>
      <c r="AA228" s="17">
        <f>X228/U228</f>
        <v>2.3776223776223775E-2</v>
      </c>
      <c r="AB228" s="17">
        <f>W228/T228</f>
        <v>2.1987315010570826E-2</v>
      </c>
      <c r="AC228" s="17">
        <f t="shared" si="52"/>
        <v>-7.5239398084815237E-2</v>
      </c>
      <c r="AD228" s="18">
        <f>O228/X228</f>
        <v>460.07843137254901</v>
      </c>
      <c r="AE228" s="18">
        <f>N228/W228</f>
        <v>499.57692307692309</v>
      </c>
      <c r="AF228" s="16">
        <f t="shared" si="53"/>
        <v>8.5851648351648421E-2</v>
      </c>
      <c r="AG228">
        <f t="shared" si="54"/>
        <v>419</v>
      </c>
      <c r="AH228">
        <f t="shared" si="55"/>
        <v>419</v>
      </c>
      <c r="AI228" s="16">
        <f t="shared" si="56"/>
        <v>0</v>
      </c>
      <c r="AJ228" s="18">
        <f t="shared" si="57"/>
        <v>28.169556025369978</v>
      </c>
      <c r="AK228" s="18">
        <f t="shared" si="58"/>
        <v>29.496037296037297</v>
      </c>
      <c r="AL228" s="15">
        <f t="shared" si="59"/>
        <v>0.61006289308176098</v>
      </c>
    </row>
    <row r="229" spans="1:38" x14ac:dyDescent="0.35">
      <c r="A229" s="1" t="s">
        <v>27</v>
      </c>
      <c r="B229" s="6" t="s">
        <v>34</v>
      </c>
      <c r="C229" s="1">
        <v>8</v>
      </c>
      <c r="D229" s="1" t="s">
        <v>49</v>
      </c>
      <c r="E229" s="2">
        <v>175</v>
      </c>
      <c r="F229" s="2">
        <v>169.9</v>
      </c>
      <c r="G229" s="2">
        <f t="shared" si="45"/>
        <v>5.0999999999999943</v>
      </c>
      <c r="H229" s="3">
        <f>E229*K229</f>
        <v>16275</v>
      </c>
      <c r="I229" s="3">
        <f>F229*L229</f>
        <v>16140.5</v>
      </c>
      <c r="J229" s="19">
        <f t="shared" si="46"/>
        <v>8.3330751835444996E-3</v>
      </c>
      <c r="K229" s="4">
        <v>93</v>
      </c>
      <c r="L229" s="4">
        <v>95</v>
      </c>
      <c r="M229" s="19">
        <f t="shared" si="47"/>
        <v>-2.1052631578947368E-2</v>
      </c>
      <c r="N229" s="3">
        <f>E229*Q229</f>
        <v>16625</v>
      </c>
      <c r="O229" s="3">
        <f>F229*R229</f>
        <v>15630.800000000001</v>
      </c>
      <c r="P229" s="19">
        <f t="shared" si="48"/>
        <v>6.3605189753563399E-2</v>
      </c>
      <c r="Q229" s="1">
        <v>95</v>
      </c>
      <c r="R229" s="1">
        <v>92</v>
      </c>
      <c r="S229" s="19">
        <f t="shared" si="49"/>
        <v>3.2608695652173912E-2</v>
      </c>
      <c r="T229" s="1">
        <v>4581</v>
      </c>
      <c r="U229" s="1">
        <v>4309</v>
      </c>
      <c r="V229" s="19">
        <f t="shared" si="50"/>
        <v>6.3123694592712928E-2</v>
      </c>
      <c r="W229" s="1">
        <v>85</v>
      </c>
      <c r="X229" s="4">
        <v>73.919999999999987</v>
      </c>
      <c r="Y229" s="19">
        <f t="shared" si="51"/>
        <v>0.14989177489177508</v>
      </c>
      <c r="Z229" s="1">
        <v>4.4000000000000004</v>
      </c>
      <c r="AA229" s="17">
        <f>X229/U229</f>
        <v>1.7154792295196099E-2</v>
      </c>
      <c r="AB229" s="17">
        <f>W229/T229</f>
        <v>1.8554900676708144E-2</v>
      </c>
      <c r="AC229" s="17">
        <f t="shared" si="52"/>
        <v>8.1616166341117444E-2</v>
      </c>
      <c r="AD229" s="18">
        <f>O229/X229</f>
        <v>211.45562770562776</v>
      </c>
      <c r="AE229" s="18">
        <f>N229/W229</f>
        <v>195.58823529411765</v>
      </c>
      <c r="AF229" s="16">
        <f t="shared" si="53"/>
        <v>-7.503887498137185E-2</v>
      </c>
      <c r="AG229">
        <f t="shared" si="54"/>
        <v>169.9</v>
      </c>
      <c r="AH229">
        <f t="shared" si="55"/>
        <v>175</v>
      </c>
      <c r="AI229" s="16">
        <f t="shared" si="56"/>
        <v>3.0017657445556175E-2</v>
      </c>
      <c r="AJ229" s="18">
        <f t="shared" si="57"/>
        <v>7.1818380266317394</v>
      </c>
      <c r="AK229" s="18">
        <f t="shared" si="58"/>
        <v>7.3732420515200747</v>
      </c>
      <c r="AL229" s="15">
        <f t="shared" si="59"/>
        <v>0.49468085106382981</v>
      </c>
    </row>
    <row r="230" spans="1:38" x14ac:dyDescent="0.35">
      <c r="A230" s="1" t="s">
        <v>27</v>
      </c>
      <c r="B230" s="6" t="s">
        <v>35</v>
      </c>
      <c r="C230" s="1">
        <v>9</v>
      </c>
      <c r="D230" s="1" t="s">
        <v>49</v>
      </c>
      <c r="E230" s="2">
        <v>139</v>
      </c>
      <c r="F230" s="2">
        <v>119</v>
      </c>
      <c r="G230" s="2">
        <f t="shared" si="45"/>
        <v>20</v>
      </c>
      <c r="H230" s="3">
        <f>E230*K230</f>
        <v>23769</v>
      </c>
      <c r="I230" s="3">
        <f>F230*L230</f>
        <v>19516</v>
      </c>
      <c r="J230" s="19">
        <f t="shared" si="46"/>
        <v>0.21792375486780077</v>
      </c>
      <c r="K230" s="4">
        <v>171</v>
      </c>
      <c r="L230" s="4">
        <v>164</v>
      </c>
      <c r="M230" s="19">
        <f t="shared" si="47"/>
        <v>4.2682926829268296E-2</v>
      </c>
      <c r="N230" s="3">
        <f>E230*Q230</f>
        <v>10425</v>
      </c>
      <c r="O230" s="3">
        <f>F230*R230</f>
        <v>7973</v>
      </c>
      <c r="P230" s="19">
        <f t="shared" si="48"/>
        <v>0.30753794054935407</v>
      </c>
      <c r="Q230" s="1">
        <v>75</v>
      </c>
      <c r="R230" s="1">
        <v>67</v>
      </c>
      <c r="S230" s="19">
        <f t="shared" si="49"/>
        <v>0.11940298507462686</v>
      </c>
      <c r="T230" s="1">
        <v>3778</v>
      </c>
      <c r="U230" s="1">
        <v>3928</v>
      </c>
      <c r="V230" s="19">
        <f t="shared" si="50"/>
        <v>-3.818737270875764E-2</v>
      </c>
      <c r="W230" s="1">
        <v>65</v>
      </c>
      <c r="X230" s="4">
        <v>57.42</v>
      </c>
      <c r="Y230" s="19">
        <f t="shared" si="51"/>
        <v>0.13200975269940785</v>
      </c>
      <c r="Z230" s="5">
        <v>2.5</v>
      </c>
      <c r="AA230" s="17">
        <f>X230/U230</f>
        <v>1.4618126272912424E-2</v>
      </c>
      <c r="AB230" s="17">
        <f>W230/T230</f>
        <v>1.7204870301746954E-2</v>
      </c>
      <c r="AC230" s="17">
        <f t="shared" si="52"/>
        <v>0.17695455495057533</v>
      </c>
      <c r="AD230" s="18">
        <f>O230/X230</f>
        <v>138.85405781957505</v>
      </c>
      <c r="AE230" s="18">
        <f>N230/W230</f>
        <v>160.38461538461539</v>
      </c>
      <c r="AF230" s="16">
        <f t="shared" si="53"/>
        <v>0.15505890071298337</v>
      </c>
      <c r="AG230">
        <f t="shared" si="54"/>
        <v>119</v>
      </c>
      <c r="AH230">
        <f t="shared" si="55"/>
        <v>139</v>
      </c>
      <c r="AI230" s="16">
        <f t="shared" si="56"/>
        <v>0.16806722689075632</v>
      </c>
      <c r="AJ230" s="18">
        <f t="shared" si="57"/>
        <v>9.0508205399682371</v>
      </c>
      <c r="AK230" s="18">
        <f t="shared" si="58"/>
        <v>6.9982179226069245</v>
      </c>
      <c r="AL230" s="15">
        <f t="shared" si="59"/>
        <v>0.69512195121951215</v>
      </c>
    </row>
    <row r="231" spans="1:38" x14ac:dyDescent="0.35">
      <c r="A231" s="1" t="s">
        <v>27</v>
      </c>
      <c r="B231" s="6" t="s">
        <v>36</v>
      </c>
      <c r="C231" s="1">
        <v>10</v>
      </c>
      <c r="D231" s="1" t="s">
        <v>49</v>
      </c>
      <c r="E231" s="2">
        <v>79</v>
      </c>
      <c r="F231" s="2">
        <v>79</v>
      </c>
      <c r="G231" s="2">
        <f t="shared" si="45"/>
        <v>0</v>
      </c>
      <c r="H231" s="3">
        <f>E231*K231</f>
        <v>9085</v>
      </c>
      <c r="I231" s="3">
        <f>F231*L231</f>
        <v>8769</v>
      </c>
      <c r="J231" s="19">
        <f t="shared" si="46"/>
        <v>3.6036036036036036E-2</v>
      </c>
      <c r="K231" s="4">
        <v>115</v>
      </c>
      <c r="L231" s="4">
        <v>111</v>
      </c>
      <c r="M231" s="19">
        <f t="shared" si="47"/>
        <v>3.6036036036036036E-2</v>
      </c>
      <c r="N231" s="3">
        <f>E231*Q231</f>
        <v>7663</v>
      </c>
      <c r="O231" s="3">
        <f>F231*R231</f>
        <v>7584</v>
      </c>
      <c r="P231" s="19">
        <f t="shared" si="48"/>
        <v>1.0416666666666666E-2</v>
      </c>
      <c r="Q231" s="1">
        <v>97</v>
      </c>
      <c r="R231" s="1">
        <v>96</v>
      </c>
      <c r="S231" s="19">
        <f t="shared" si="49"/>
        <v>1.0416666666666666E-2</v>
      </c>
      <c r="T231" s="1">
        <v>3259</v>
      </c>
      <c r="U231" s="1">
        <v>2998</v>
      </c>
      <c r="V231" s="19">
        <f t="shared" si="50"/>
        <v>8.7058038692461648E-2</v>
      </c>
      <c r="W231" s="1">
        <v>87</v>
      </c>
      <c r="X231" s="4">
        <v>81.2</v>
      </c>
      <c r="Y231" s="19">
        <f t="shared" si="51"/>
        <v>7.1428571428571397E-2</v>
      </c>
      <c r="Z231" s="5">
        <v>2.4000000000000004</v>
      </c>
      <c r="AA231" s="17">
        <f>X231/U231</f>
        <v>2.7084723148765845E-2</v>
      </c>
      <c r="AB231" s="17">
        <f>W231/T231</f>
        <v>2.6695305308376802E-2</v>
      </c>
      <c r="AC231" s="17">
        <f t="shared" si="52"/>
        <v>-1.4377767062639775E-2</v>
      </c>
      <c r="AD231" s="18">
        <f>O231/X231</f>
        <v>93.399014778325125</v>
      </c>
      <c r="AE231" s="18">
        <f>N231/W231</f>
        <v>88.080459770114942</v>
      </c>
      <c r="AF231" s="16">
        <f t="shared" si="53"/>
        <v>-5.6944444444444464E-2</v>
      </c>
      <c r="AG231">
        <f t="shared" si="54"/>
        <v>79</v>
      </c>
      <c r="AH231">
        <f t="shared" si="55"/>
        <v>79</v>
      </c>
      <c r="AI231" s="16">
        <f t="shared" si="56"/>
        <v>0</v>
      </c>
      <c r="AJ231" s="18">
        <f t="shared" si="57"/>
        <v>5.1389996931574107</v>
      </c>
      <c r="AK231" s="18">
        <f t="shared" si="58"/>
        <v>5.4546364242828549</v>
      </c>
      <c r="AL231" s="15">
        <f t="shared" si="59"/>
        <v>0.54245283018867929</v>
      </c>
    </row>
    <row r="232" spans="1:38" x14ac:dyDescent="0.35">
      <c r="A232" s="1" t="s">
        <v>27</v>
      </c>
      <c r="B232" s="6" t="s">
        <v>37</v>
      </c>
      <c r="C232" s="1">
        <v>11</v>
      </c>
      <c r="D232" s="1" t="s">
        <v>49</v>
      </c>
      <c r="E232" s="2">
        <v>149</v>
      </c>
      <c r="F232" s="2">
        <v>149</v>
      </c>
      <c r="G232" s="2">
        <f t="shared" si="45"/>
        <v>0</v>
      </c>
      <c r="H232" s="3">
        <f>E232*K232</f>
        <v>7450</v>
      </c>
      <c r="I232" s="3">
        <f>F232*L232</f>
        <v>7450</v>
      </c>
      <c r="J232" s="19">
        <f t="shared" si="46"/>
        <v>0</v>
      </c>
      <c r="K232" s="4">
        <v>50</v>
      </c>
      <c r="L232" s="4">
        <v>50</v>
      </c>
      <c r="M232" s="19">
        <f t="shared" si="47"/>
        <v>0</v>
      </c>
      <c r="N232" s="3">
        <f>E232*Q232</f>
        <v>6407</v>
      </c>
      <c r="O232" s="3">
        <f>F232*R232</f>
        <v>5960</v>
      </c>
      <c r="P232" s="19">
        <f t="shared" si="48"/>
        <v>7.4999999999999997E-2</v>
      </c>
      <c r="Q232" s="1">
        <v>43</v>
      </c>
      <c r="R232" s="1">
        <v>40</v>
      </c>
      <c r="S232" s="19">
        <f t="shared" si="49"/>
        <v>7.4999999999999997E-2</v>
      </c>
      <c r="T232" s="1">
        <v>2988</v>
      </c>
      <c r="U232" s="1">
        <v>3231</v>
      </c>
      <c r="V232" s="19">
        <f t="shared" si="50"/>
        <v>-7.5208913649025072E-2</v>
      </c>
      <c r="W232" s="1">
        <v>33</v>
      </c>
      <c r="X232" s="4">
        <v>42</v>
      </c>
      <c r="Y232" s="19">
        <f t="shared" si="51"/>
        <v>-0.21428571428571427</v>
      </c>
      <c r="Z232" s="5">
        <v>2</v>
      </c>
      <c r="AA232" s="17">
        <f>X232/U232</f>
        <v>1.2999071494893221E-2</v>
      </c>
      <c r="AB232" s="17">
        <f>W232/T232</f>
        <v>1.104417670682731E-2</v>
      </c>
      <c r="AC232" s="17">
        <f t="shared" si="52"/>
        <v>-0.15038726333907049</v>
      </c>
      <c r="AD232" s="18">
        <f>O232/X232</f>
        <v>141.9047619047619</v>
      </c>
      <c r="AE232" s="18">
        <f>N232/W232</f>
        <v>194.15151515151516</v>
      </c>
      <c r="AF232" s="16">
        <f t="shared" si="53"/>
        <v>0.36818181818181828</v>
      </c>
      <c r="AG232">
        <f t="shared" si="54"/>
        <v>149</v>
      </c>
      <c r="AH232">
        <f t="shared" si="55"/>
        <v>149</v>
      </c>
      <c r="AI232" s="16">
        <f t="shared" si="56"/>
        <v>0</v>
      </c>
      <c r="AJ232" s="18">
        <f t="shared" si="57"/>
        <v>4.6375502008032132</v>
      </c>
      <c r="AK232" s="18">
        <f t="shared" si="58"/>
        <v>4.1504178272980505</v>
      </c>
      <c r="AL232" s="15">
        <f t="shared" si="59"/>
        <v>0.5376344086021505</v>
      </c>
    </row>
    <row r="233" spans="1:38" x14ac:dyDescent="0.35">
      <c r="A233" s="1" t="s">
        <v>27</v>
      </c>
      <c r="B233" s="6" t="s">
        <v>38</v>
      </c>
      <c r="C233" s="1">
        <v>12</v>
      </c>
      <c r="D233" s="1" t="s">
        <v>50</v>
      </c>
      <c r="E233" s="2">
        <v>779</v>
      </c>
      <c r="F233" s="2">
        <v>649.20000000000005</v>
      </c>
      <c r="G233" s="2">
        <f t="shared" si="45"/>
        <v>129.79999999999995</v>
      </c>
      <c r="H233" s="3">
        <f>E233*K233</f>
        <v>71668</v>
      </c>
      <c r="I233" s="3">
        <f>F233*L233</f>
        <v>55182.000000000007</v>
      </c>
      <c r="J233" s="19">
        <f t="shared" si="46"/>
        <v>0.29875684099887628</v>
      </c>
      <c r="K233" s="4">
        <v>92</v>
      </c>
      <c r="L233" s="4">
        <v>85</v>
      </c>
      <c r="M233" s="19">
        <f t="shared" si="47"/>
        <v>8.2352941176470587E-2</v>
      </c>
      <c r="N233" s="3">
        <f>E233*Q233</f>
        <v>98154</v>
      </c>
      <c r="O233" s="3">
        <f>F233*R233</f>
        <v>81799.200000000012</v>
      </c>
      <c r="P233" s="19">
        <f t="shared" si="48"/>
        <v>0.1999383857054835</v>
      </c>
      <c r="Q233" s="1">
        <v>126</v>
      </c>
      <c r="R233" s="1">
        <v>126</v>
      </c>
      <c r="S233" s="19">
        <f t="shared" si="49"/>
        <v>0</v>
      </c>
      <c r="T233" s="1">
        <v>7046</v>
      </c>
      <c r="U233" s="1">
        <v>6371</v>
      </c>
      <c r="V233" s="19">
        <f t="shared" si="50"/>
        <v>0.1059488306388322</v>
      </c>
      <c r="W233" s="1">
        <v>116</v>
      </c>
      <c r="X233" s="1">
        <v>121</v>
      </c>
      <c r="Y233" s="19">
        <f t="shared" si="51"/>
        <v>-4.1322314049586778E-2</v>
      </c>
      <c r="Z233" s="1">
        <v>4.5</v>
      </c>
      <c r="AA233" s="17">
        <f>X233/U233</f>
        <v>1.8992308899701774E-2</v>
      </c>
      <c r="AB233" s="17">
        <f>W233/T233</f>
        <v>1.6463241555492478E-2</v>
      </c>
      <c r="AC233" s="17">
        <f t="shared" si="52"/>
        <v>-0.13316271115667291</v>
      </c>
      <c r="AD233" s="18">
        <f>O233/X233</f>
        <v>676.02644628099188</v>
      </c>
      <c r="AE233" s="18">
        <f>N233/W233</f>
        <v>846.15517241379314</v>
      </c>
      <c r="AF233" s="16">
        <f t="shared" si="53"/>
        <v>0.25165986784796118</v>
      </c>
      <c r="AG233">
        <f t="shared" si="54"/>
        <v>649.20000000000005</v>
      </c>
      <c r="AH233">
        <f t="shared" si="55"/>
        <v>779</v>
      </c>
      <c r="AI233" s="16">
        <f t="shared" si="56"/>
        <v>0.19993838570548358</v>
      </c>
      <c r="AJ233" s="18">
        <f t="shared" si="57"/>
        <v>24.10190178824865</v>
      </c>
      <c r="AK233" s="18">
        <f t="shared" si="58"/>
        <v>21.500737717783711</v>
      </c>
      <c r="AL233" s="15">
        <f t="shared" si="59"/>
        <v>0.42201834862385323</v>
      </c>
    </row>
    <row r="234" spans="1:38" x14ac:dyDescent="0.35">
      <c r="A234" s="1" t="s">
        <v>27</v>
      </c>
      <c r="B234" s="6" t="s">
        <v>39</v>
      </c>
      <c r="C234" s="1">
        <v>13</v>
      </c>
      <c r="D234" s="1" t="s">
        <v>50</v>
      </c>
      <c r="E234" s="2">
        <v>136</v>
      </c>
      <c r="F234" s="2">
        <v>136</v>
      </c>
      <c r="G234" s="2">
        <f t="shared" si="45"/>
        <v>0</v>
      </c>
      <c r="H234" s="3">
        <f>E234*K234</f>
        <v>12512</v>
      </c>
      <c r="I234" s="3">
        <f>F234*L234</f>
        <v>11832</v>
      </c>
      <c r="J234" s="19">
        <f t="shared" si="46"/>
        <v>5.7471264367816091E-2</v>
      </c>
      <c r="K234" s="4">
        <v>92</v>
      </c>
      <c r="L234" s="4">
        <v>87</v>
      </c>
      <c r="M234" s="19">
        <f t="shared" si="47"/>
        <v>5.7471264367816091E-2</v>
      </c>
      <c r="N234" s="3">
        <f>E234*Q234</f>
        <v>4352</v>
      </c>
      <c r="O234" s="3">
        <f>F234*R234</f>
        <v>4216</v>
      </c>
      <c r="P234" s="19">
        <f t="shared" si="48"/>
        <v>3.2258064516129031E-2</v>
      </c>
      <c r="Q234" s="1">
        <v>32</v>
      </c>
      <c r="R234" s="1">
        <v>31</v>
      </c>
      <c r="S234" s="19">
        <f t="shared" si="49"/>
        <v>3.2258064516129031E-2</v>
      </c>
      <c r="T234" s="1">
        <v>12031</v>
      </c>
      <c r="U234" s="1">
        <v>11492</v>
      </c>
      <c r="V234" s="19">
        <f t="shared" si="50"/>
        <v>4.6902192829794638E-2</v>
      </c>
      <c r="W234" s="1">
        <v>28</v>
      </c>
      <c r="X234" s="4">
        <v>33.150000000000006</v>
      </c>
      <c r="Y234" s="19">
        <f t="shared" si="51"/>
        <v>-0.15535444947209667</v>
      </c>
      <c r="Z234" s="5">
        <v>2</v>
      </c>
      <c r="AA234" s="17">
        <f>X234/U234</f>
        <v>2.8846153846153852E-3</v>
      </c>
      <c r="AB234" s="17">
        <f>W234/T234</f>
        <v>2.3273210871914223E-3</v>
      </c>
      <c r="AC234" s="17">
        <f t="shared" si="52"/>
        <v>-0.19319535644030711</v>
      </c>
      <c r="AD234" s="18">
        <f>O234/X234</f>
        <v>127.17948717948715</v>
      </c>
      <c r="AE234" s="18">
        <f>N234/W234</f>
        <v>155.42857142857142</v>
      </c>
      <c r="AF234" s="16">
        <f t="shared" si="53"/>
        <v>0.22211981566820291</v>
      </c>
      <c r="AG234">
        <f t="shared" si="54"/>
        <v>136</v>
      </c>
      <c r="AH234">
        <f t="shared" si="55"/>
        <v>136</v>
      </c>
      <c r="AI234" s="16">
        <f t="shared" si="56"/>
        <v>0</v>
      </c>
      <c r="AJ234" s="18">
        <f t="shared" si="57"/>
        <v>1.4017122433712907</v>
      </c>
      <c r="AK234" s="18">
        <f t="shared" si="58"/>
        <v>1.3964497041420119</v>
      </c>
      <c r="AL234" s="15">
        <f t="shared" si="59"/>
        <v>0.74193548387096775</v>
      </c>
    </row>
    <row r="235" spans="1:38" x14ac:dyDescent="0.35">
      <c r="A235" s="1" t="s">
        <v>27</v>
      </c>
      <c r="B235" s="6" t="s">
        <v>40</v>
      </c>
      <c r="C235" s="1">
        <v>14</v>
      </c>
      <c r="D235" s="1" t="s">
        <v>50</v>
      </c>
      <c r="E235" s="2">
        <v>249</v>
      </c>
      <c r="F235" s="2">
        <v>249</v>
      </c>
      <c r="G235" s="2">
        <f t="shared" si="45"/>
        <v>0</v>
      </c>
      <c r="H235" s="3">
        <f>E235*K235</f>
        <v>24651</v>
      </c>
      <c r="I235" s="3">
        <f>F235*L235</f>
        <v>22659</v>
      </c>
      <c r="J235" s="19">
        <f t="shared" si="46"/>
        <v>8.7912087912087919E-2</v>
      </c>
      <c r="K235" s="4">
        <v>99</v>
      </c>
      <c r="L235" s="4">
        <v>91</v>
      </c>
      <c r="M235" s="19">
        <f t="shared" si="47"/>
        <v>8.7912087912087919E-2</v>
      </c>
      <c r="N235" s="3">
        <f>E235*Q235</f>
        <v>29133</v>
      </c>
      <c r="O235" s="3">
        <f>F235*R235</f>
        <v>25896</v>
      </c>
      <c r="P235" s="19">
        <f t="shared" si="48"/>
        <v>0.125</v>
      </c>
      <c r="Q235" s="1">
        <v>117</v>
      </c>
      <c r="R235" s="1">
        <v>104</v>
      </c>
      <c r="S235" s="19">
        <f t="shared" si="49"/>
        <v>0.125</v>
      </c>
      <c r="T235" s="1">
        <v>5607</v>
      </c>
      <c r="U235" s="1">
        <v>5114</v>
      </c>
      <c r="V235" s="19">
        <f t="shared" si="50"/>
        <v>9.6402033633163867E-2</v>
      </c>
      <c r="W235" s="1">
        <v>107</v>
      </c>
      <c r="X235" s="1">
        <v>99</v>
      </c>
      <c r="Y235" s="19">
        <f t="shared" si="51"/>
        <v>8.0808080808080815E-2</v>
      </c>
      <c r="Z235" s="1">
        <v>4.5</v>
      </c>
      <c r="AA235" s="17">
        <f>X235/U235</f>
        <v>1.9358623386781383E-2</v>
      </c>
      <c r="AB235" s="17">
        <f>W235/T235</f>
        <v>1.9083288746210094E-2</v>
      </c>
      <c r="AC235" s="17">
        <f t="shared" si="52"/>
        <v>-1.42228419381977E-2</v>
      </c>
      <c r="AD235" s="18">
        <f>O235/X235</f>
        <v>261.57575757575756</v>
      </c>
      <c r="AE235" s="18">
        <f>N235/W235</f>
        <v>272.27102803738319</v>
      </c>
      <c r="AF235" s="16">
        <f t="shared" si="53"/>
        <v>4.0887850467289814E-2</v>
      </c>
      <c r="AG235">
        <f t="shared" si="54"/>
        <v>249</v>
      </c>
      <c r="AH235">
        <f t="shared" si="55"/>
        <v>249</v>
      </c>
      <c r="AI235" s="16">
        <f t="shared" si="56"/>
        <v>0</v>
      </c>
      <c r="AJ235" s="18">
        <f t="shared" si="57"/>
        <v>9.5922953451043345</v>
      </c>
      <c r="AK235" s="18">
        <f t="shared" si="58"/>
        <v>9.4945248337895976</v>
      </c>
      <c r="AL235" s="15">
        <f t="shared" si="59"/>
        <v>0.45833333333333331</v>
      </c>
    </row>
    <row r="236" spans="1:38" x14ac:dyDescent="0.35">
      <c r="A236" s="1" t="s">
        <v>27</v>
      </c>
      <c r="B236" s="6" t="s">
        <v>41</v>
      </c>
      <c r="C236" s="1">
        <v>15</v>
      </c>
      <c r="D236" s="1" t="s">
        <v>50</v>
      </c>
      <c r="E236" s="2">
        <v>155</v>
      </c>
      <c r="F236" s="2">
        <v>155</v>
      </c>
      <c r="G236" s="2">
        <f t="shared" si="45"/>
        <v>0</v>
      </c>
      <c r="H236" s="3">
        <f>E236*K236</f>
        <v>21700</v>
      </c>
      <c r="I236" s="3">
        <f>F236*L236</f>
        <v>22320</v>
      </c>
      <c r="J236" s="19">
        <f t="shared" si="46"/>
        <v>-2.7777777777777776E-2</v>
      </c>
      <c r="K236" s="4">
        <v>140</v>
      </c>
      <c r="L236" s="4">
        <v>144</v>
      </c>
      <c r="M236" s="19">
        <f t="shared" si="47"/>
        <v>-2.7777777777777776E-2</v>
      </c>
      <c r="N236" s="3">
        <f>E236*Q236</f>
        <v>17670</v>
      </c>
      <c r="O236" s="3">
        <f>F236*R236</f>
        <v>16895</v>
      </c>
      <c r="P236" s="19">
        <f t="shared" si="48"/>
        <v>4.5871559633027525E-2</v>
      </c>
      <c r="Q236" s="1">
        <v>114</v>
      </c>
      <c r="R236" s="1">
        <v>109</v>
      </c>
      <c r="S236" s="19">
        <f t="shared" si="49"/>
        <v>4.5871559633027525E-2</v>
      </c>
      <c r="T236" s="1">
        <v>4256</v>
      </c>
      <c r="U236" s="1">
        <v>3901</v>
      </c>
      <c r="V236" s="19">
        <f t="shared" si="50"/>
        <v>9.1002307100743404E-2</v>
      </c>
      <c r="W236" s="1">
        <v>104</v>
      </c>
      <c r="X236" s="4">
        <v>86.43</v>
      </c>
      <c r="Y236" s="19">
        <f t="shared" si="51"/>
        <v>0.20328589610089079</v>
      </c>
      <c r="Z236" s="5">
        <v>4.2</v>
      </c>
      <c r="AA236" s="17">
        <f>X236/U236</f>
        <v>2.2155857472442964E-2</v>
      </c>
      <c r="AB236" s="17">
        <f>W236/T236</f>
        <v>2.4436090225563908E-2</v>
      </c>
      <c r="AC236" s="17">
        <f t="shared" si="52"/>
        <v>0.10291782910939261</v>
      </c>
      <c r="AD236" s="18">
        <f>O236/X236</f>
        <v>195.47610783292836</v>
      </c>
      <c r="AE236" s="18">
        <f>N236/W236</f>
        <v>169.90384615384616</v>
      </c>
      <c r="AF236" s="16">
        <f t="shared" si="53"/>
        <v>-0.13082039520112904</v>
      </c>
      <c r="AG236">
        <f t="shared" si="54"/>
        <v>155</v>
      </c>
      <c r="AH236">
        <f t="shared" si="55"/>
        <v>155</v>
      </c>
      <c r="AI236" s="16">
        <f t="shared" si="56"/>
        <v>0</v>
      </c>
      <c r="AJ236" s="18">
        <f t="shared" si="57"/>
        <v>9.2504699248120303</v>
      </c>
      <c r="AK236" s="18">
        <f t="shared" si="58"/>
        <v>10.052550628044091</v>
      </c>
      <c r="AL236" s="15">
        <f t="shared" si="59"/>
        <v>0.55118110236220474</v>
      </c>
    </row>
    <row r="237" spans="1:38" x14ac:dyDescent="0.35">
      <c r="A237" s="1" t="s">
        <v>27</v>
      </c>
      <c r="B237" s="6" t="s">
        <v>42</v>
      </c>
      <c r="C237" s="1">
        <v>16</v>
      </c>
      <c r="D237" s="1" t="s">
        <v>50</v>
      </c>
      <c r="E237" s="2">
        <v>627</v>
      </c>
      <c r="F237" s="2">
        <v>627</v>
      </c>
      <c r="G237" s="2">
        <f t="shared" si="45"/>
        <v>0</v>
      </c>
      <c r="H237" s="3">
        <f>E237*K237</f>
        <v>107217</v>
      </c>
      <c r="I237" s="3">
        <f>F237*L237</f>
        <v>94677</v>
      </c>
      <c r="J237" s="19">
        <f t="shared" si="46"/>
        <v>0.13245033112582782</v>
      </c>
      <c r="K237" s="4">
        <v>171</v>
      </c>
      <c r="L237" s="4">
        <v>151</v>
      </c>
      <c r="M237" s="19">
        <f t="shared" si="47"/>
        <v>0.13245033112582782</v>
      </c>
      <c r="N237" s="3">
        <f>E237*Q237</f>
        <v>36366</v>
      </c>
      <c r="O237" s="3">
        <f>F237*R237</f>
        <v>33858</v>
      </c>
      <c r="P237" s="19">
        <f t="shared" si="48"/>
        <v>7.407407407407407E-2</v>
      </c>
      <c r="Q237" s="1">
        <v>58</v>
      </c>
      <c r="R237" s="1">
        <v>54</v>
      </c>
      <c r="S237" s="19">
        <f t="shared" si="49"/>
        <v>7.407407407407407E-2</v>
      </c>
      <c r="T237" s="1">
        <v>4377</v>
      </c>
      <c r="U237" s="1">
        <v>3903</v>
      </c>
      <c r="V237" s="19">
        <f t="shared" si="50"/>
        <v>0.12144504227517294</v>
      </c>
      <c r="W237" s="1">
        <v>48</v>
      </c>
      <c r="X237" s="1">
        <v>49</v>
      </c>
      <c r="Y237" s="19">
        <f t="shared" si="51"/>
        <v>-2.0408163265306121E-2</v>
      </c>
      <c r="Z237" s="1">
        <v>4.5999999999999996</v>
      </c>
      <c r="AA237" s="17">
        <f>X237/U237</f>
        <v>1.2554445298488343E-2</v>
      </c>
      <c r="AB237" s="17">
        <f>W237/T237</f>
        <v>1.0966415352981495E-2</v>
      </c>
      <c r="AC237" s="17">
        <f t="shared" si="52"/>
        <v>-0.12649144647578012</v>
      </c>
      <c r="AD237" s="18">
        <f>O237/X237</f>
        <v>690.9795918367347</v>
      </c>
      <c r="AE237" s="18">
        <f>N237/W237</f>
        <v>757.625</v>
      </c>
      <c r="AF237" s="16">
        <f t="shared" si="53"/>
        <v>9.6450617283950615E-2</v>
      </c>
      <c r="AG237">
        <f t="shared" si="54"/>
        <v>627</v>
      </c>
      <c r="AH237">
        <f t="shared" si="55"/>
        <v>627</v>
      </c>
      <c r="AI237" s="16">
        <f t="shared" si="56"/>
        <v>0</v>
      </c>
      <c r="AJ237" s="18">
        <f t="shared" si="57"/>
        <v>32.803975325565453</v>
      </c>
      <c r="AK237" s="18">
        <f t="shared" si="58"/>
        <v>32.932359723289778</v>
      </c>
      <c r="AL237" s="15">
        <f t="shared" si="59"/>
        <v>0.74672489082969429</v>
      </c>
    </row>
    <row r="238" spans="1:38" x14ac:dyDescent="0.35">
      <c r="A238" s="1" t="s">
        <v>27</v>
      </c>
      <c r="B238" s="6" t="s">
        <v>43</v>
      </c>
      <c r="C238" s="1">
        <v>17</v>
      </c>
      <c r="D238" s="1" t="s">
        <v>50</v>
      </c>
      <c r="E238" s="2">
        <v>179</v>
      </c>
      <c r="F238" s="2">
        <v>169</v>
      </c>
      <c r="G238" s="2">
        <f t="shared" si="45"/>
        <v>10</v>
      </c>
      <c r="H238" s="3">
        <f>E238*K238</f>
        <v>19511</v>
      </c>
      <c r="I238" s="3">
        <f>F238*L238</f>
        <v>17914</v>
      </c>
      <c r="J238" s="19">
        <f t="shared" si="46"/>
        <v>8.9148152283130513E-2</v>
      </c>
      <c r="K238" s="4">
        <v>109</v>
      </c>
      <c r="L238" s="4">
        <v>106</v>
      </c>
      <c r="M238" s="19">
        <f t="shared" si="47"/>
        <v>2.8301886792452831E-2</v>
      </c>
      <c r="N238" s="3">
        <f>E238*Q238</f>
        <v>9845</v>
      </c>
      <c r="O238" s="3">
        <f>F238*R238</f>
        <v>9126</v>
      </c>
      <c r="P238" s="19">
        <f t="shared" si="48"/>
        <v>7.8785886478194164E-2</v>
      </c>
      <c r="Q238" s="1">
        <v>55</v>
      </c>
      <c r="R238" s="1">
        <v>54</v>
      </c>
      <c r="S238" s="19">
        <f t="shared" si="49"/>
        <v>1.8518518518518517E-2</v>
      </c>
      <c r="T238" s="1">
        <v>7912</v>
      </c>
      <c r="U238" s="1">
        <v>7829</v>
      </c>
      <c r="V238" s="19">
        <f t="shared" si="50"/>
        <v>1.0601609400945204E-2</v>
      </c>
      <c r="W238" s="1">
        <v>45</v>
      </c>
      <c r="X238" s="4">
        <v>44.4</v>
      </c>
      <c r="Y238" s="19">
        <f t="shared" si="51"/>
        <v>1.3513513513513545E-2</v>
      </c>
      <c r="Z238" s="1">
        <v>4.0999999999999996</v>
      </c>
      <c r="AA238" s="17">
        <f>X238/U238</f>
        <v>5.6712223783369521E-3</v>
      </c>
      <c r="AB238" s="17">
        <f>W238/T238</f>
        <v>5.6875631951466129E-3</v>
      </c>
      <c r="AC238" s="17">
        <f t="shared" si="52"/>
        <v>2.8813570901539301E-3</v>
      </c>
      <c r="AD238" s="18">
        <f>O238/X238</f>
        <v>205.54054054054055</v>
      </c>
      <c r="AE238" s="18">
        <f>N238/W238</f>
        <v>218.77777777777777</v>
      </c>
      <c r="AF238" s="16">
        <f t="shared" si="53"/>
        <v>6.4402074658484854E-2</v>
      </c>
      <c r="AG238">
        <f t="shared" si="54"/>
        <v>169</v>
      </c>
      <c r="AH238">
        <f t="shared" si="55"/>
        <v>179</v>
      </c>
      <c r="AI238" s="16">
        <f t="shared" si="56"/>
        <v>5.9171597633136092E-2</v>
      </c>
      <c r="AJ238" s="18">
        <f t="shared" si="57"/>
        <v>3.7103134479271991</v>
      </c>
      <c r="AK238" s="18">
        <f t="shared" si="58"/>
        <v>3.4538255205007027</v>
      </c>
      <c r="AL238" s="15">
        <f t="shared" si="59"/>
        <v>0.66463414634146345</v>
      </c>
    </row>
    <row r="239" spans="1:38" x14ac:dyDescent="0.35">
      <c r="A239" s="1" t="s">
        <v>27</v>
      </c>
      <c r="B239" s="6" t="s">
        <v>44</v>
      </c>
      <c r="C239" s="1">
        <v>18</v>
      </c>
      <c r="D239" s="1" t="s">
        <v>50</v>
      </c>
      <c r="E239" s="2">
        <v>475</v>
      </c>
      <c r="F239" s="2">
        <v>475</v>
      </c>
      <c r="G239" s="2">
        <f t="shared" si="45"/>
        <v>0</v>
      </c>
      <c r="H239" s="3">
        <f>E239*K239</f>
        <v>60800</v>
      </c>
      <c r="I239" s="3">
        <f>F239*L239</f>
        <v>62225</v>
      </c>
      <c r="J239" s="19">
        <f t="shared" si="46"/>
        <v>-2.2900763358778626E-2</v>
      </c>
      <c r="K239" s="4">
        <v>128</v>
      </c>
      <c r="L239" s="4">
        <v>131</v>
      </c>
      <c r="M239" s="19">
        <f t="shared" si="47"/>
        <v>-2.2900763358778626E-2</v>
      </c>
      <c r="N239" s="3">
        <f>E239*Q239</f>
        <v>27550</v>
      </c>
      <c r="O239" s="3">
        <f>F239*R239</f>
        <v>28025</v>
      </c>
      <c r="P239" s="19">
        <f t="shared" si="48"/>
        <v>-1.6949152542372881E-2</v>
      </c>
      <c r="Q239" s="1">
        <v>58</v>
      </c>
      <c r="R239" s="1">
        <v>59</v>
      </c>
      <c r="S239" s="19">
        <f t="shared" si="49"/>
        <v>-1.6949152542372881E-2</v>
      </c>
      <c r="T239" s="1">
        <v>6135</v>
      </c>
      <c r="U239" s="1">
        <v>5415</v>
      </c>
      <c r="V239" s="19">
        <f t="shared" si="50"/>
        <v>0.1329639889196676</v>
      </c>
      <c r="W239" s="1">
        <v>48</v>
      </c>
      <c r="X239" s="4">
        <v>55.3</v>
      </c>
      <c r="Y239" s="19">
        <f t="shared" si="51"/>
        <v>-0.13200723327305602</v>
      </c>
      <c r="Z239" s="1">
        <v>4.7</v>
      </c>
      <c r="AA239" s="17">
        <f>X239/U239</f>
        <v>1.0212373037857802E-2</v>
      </c>
      <c r="AB239" s="17">
        <f>W239/T239</f>
        <v>7.8239608801955983E-3</v>
      </c>
      <c r="AC239" s="17">
        <f t="shared" si="52"/>
        <v>-0.23387435504052143</v>
      </c>
      <c r="AD239" s="18">
        <f>O239/X239</f>
        <v>506.78119349005425</v>
      </c>
      <c r="AE239" s="18">
        <f>N239/W239</f>
        <v>573.95833333333337</v>
      </c>
      <c r="AF239" s="16">
        <f t="shared" si="53"/>
        <v>0.13255649717514131</v>
      </c>
      <c r="AG239">
        <f t="shared" si="54"/>
        <v>475</v>
      </c>
      <c r="AH239">
        <f t="shared" si="55"/>
        <v>475</v>
      </c>
      <c r="AI239" s="16">
        <f t="shared" si="56"/>
        <v>0</v>
      </c>
      <c r="AJ239" s="18">
        <f t="shared" si="57"/>
        <v>14.400977995110024</v>
      </c>
      <c r="AK239" s="18">
        <f t="shared" si="58"/>
        <v>16.666666666666668</v>
      </c>
      <c r="AL239" s="15">
        <f t="shared" si="59"/>
        <v>0.68817204301075274</v>
      </c>
    </row>
    <row r="240" spans="1:38" x14ac:dyDescent="0.35">
      <c r="A240" s="1" t="s">
        <v>27</v>
      </c>
      <c r="B240" s="6" t="s">
        <v>45</v>
      </c>
      <c r="C240" s="1">
        <v>19</v>
      </c>
      <c r="D240" s="1" t="s">
        <v>50</v>
      </c>
      <c r="E240" s="2">
        <v>180</v>
      </c>
      <c r="F240" s="2">
        <v>160</v>
      </c>
      <c r="G240" s="2">
        <f t="shared" si="45"/>
        <v>20</v>
      </c>
      <c r="H240" s="3">
        <f>E240*K240</f>
        <v>37080</v>
      </c>
      <c r="I240" s="3">
        <f>F240*L240</f>
        <v>32960</v>
      </c>
      <c r="J240" s="19">
        <f t="shared" si="46"/>
        <v>0.125</v>
      </c>
      <c r="K240" s="4">
        <v>206</v>
      </c>
      <c r="L240" s="4">
        <v>206</v>
      </c>
      <c r="M240" s="19">
        <f t="shared" si="47"/>
        <v>0</v>
      </c>
      <c r="N240" s="3">
        <f>E240*Q240</f>
        <v>16740</v>
      </c>
      <c r="O240" s="3">
        <f>F240*R240</f>
        <v>14240</v>
      </c>
      <c r="P240" s="19">
        <f t="shared" si="48"/>
        <v>0.175561797752809</v>
      </c>
      <c r="Q240" s="1">
        <v>93</v>
      </c>
      <c r="R240" s="1">
        <v>89</v>
      </c>
      <c r="S240" s="19">
        <f t="shared" si="49"/>
        <v>4.49438202247191E-2</v>
      </c>
      <c r="T240" s="1">
        <v>10786</v>
      </c>
      <c r="U240" s="1">
        <v>10310</v>
      </c>
      <c r="V240" s="19">
        <f t="shared" si="50"/>
        <v>4.6168768186226963E-2</v>
      </c>
      <c r="W240" s="1">
        <v>83</v>
      </c>
      <c r="X240" s="1">
        <v>84</v>
      </c>
      <c r="Y240" s="19">
        <f t="shared" si="51"/>
        <v>-1.1904761904761904E-2</v>
      </c>
      <c r="Z240" s="1">
        <v>4.7</v>
      </c>
      <c r="AA240" s="17">
        <f>X240/U240</f>
        <v>8.147429679922406E-3</v>
      </c>
      <c r="AB240" s="17">
        <f>W240/T240</f>
        <v>7.6951603931021692E-3</v>
      </c>
      <c r="AC240" s="17">
        <f t="shared" si="52"/>
        <v>-5.5510670799007629E-2</v>
      </c>
      <c r="AD240" s="18">
        <f>O240/X240</f>
        <v>169.52380952380952</v>
      </c>
      <c r="AE240" s="18">
        <f>N240/W240</f>
        <v>201.68674698795181</v>
      </c>
      <c r="AF240" s="16">
        <f t="shared" si="53"/>
        <v>0.18972519290645731</v>
      </c>
      <c r="AG240">
        <f t="shared" si="54"/>
        <v>160</v>
      </c>
      <c r="AH240">
        <f t="shared" si="55"/>
        <v>180</v>
      </c>
      <c r="AI240" s="16">
        <f t="shared" si="56"/>
        <v>0.125</v>
      </c>
      <c r="AJ240" s="18">
        <f t="shared" si="57"/>
        <v>4.9898015946597445</v>
      </c>
      <c r="AK240" s="18">
        <f t="shared" si="58"/>
        <v>4.5780795344325895</v>
      </c>
      <c r="AL240" s="15">
        <f t="shared" si="59"/>
        <v>0.68896321070234112</v>
      </c>
    </row>
    <row r="241" spans="1:38" x14ac:dyDescent="0.35">
      <c r="A241" s="1" t="s">
        <v>27</v>
      </c>
      <c r="B241" s="6" t="s">
        <v>46</v>
      </c>
      <c r="C241" s="1">
        <v>20</v>
      </c>
      <c r="D241" s="1" t="s">
        <v>50</v>
      </c>
      <c r="E241" s="2">
        <v>475</v>
      </c>
      <c r="F241" s="2">
        <v>475</v>
      </c>
      <c r="G241" s="2">
        <f t="shared" si="45"/>
        <v>0</v>
      </c>
      <c r="H241" s="3">
        <f>E241*K241</f>
        <v>70775</v>
      </c>
      <c r="I241" s="3">
        <f>F241*L241</f>
        <v>62700</v>
      </c>
      <c r="J241" s="19">
        <f t="shared" si="46"/>
        <v>0.12878787878787878</v>
      </c>
      <c r="K241" s="4">
        <v>149</v>
      </c>
      <c r="L241" s="4">
        <v>132</v>
      </c>
      <c r="M241" s="19">
        <f t="shared" si="47"/>
        <v>0.12878787878787878</v>
      </c>
      <c r="N241" s="3">
        <f>E241*Q241</f>
        <v>58900</v>
      </c>
      <c r="O241" s="3">
        <f>F241*R241</f>
        <v>53675</v>
      </c>
      <c r="P241" s="19">
        <f t="shared" si="48"/>
        <v>9.7345132743362831E-2</v>
      </c>
      <c r="Q241" s="1">
        <v>124</v>
      </c>
      <c r="R241" s="1">
        <v>113</v>
      </c>
      <c r="S241" s="19">
        <f t="shared" si="49"/>
        <v>9.7345132743362831E-2</v>
      </c>
      <c r="T241" s="1">
        <v>3832</v>
      </c>
      <c r="U241" s="1">
        <v>3586</v>
      </c>
      <c r="V241" s="19">
        <f t="shared" si="50"/>
        <v>6.8600111544896827E-2</v>
      </c>
      <c r="W241" s="1">
        <v>114</v>
      </c>
      <c r="X241" s="1">
        <v>108</v>
      </c>
      <c r="Y241" s="19">
        <f t="shared" si="51"/>
        <v>5.5555555555555552E-2</v>
      </c>
      <c r="Z241" s="5">
        <v>4</v>
      </c>
      <c r="AA241" s="17">
        <f>X241/U241</f>
        <v>3.0117122141662019E-2</v>
      </c>
      <c r="AB241" s="17">
        <f>W241/T241</f>
        <v>2.9749478079331943E-2</v>
      </c>
      <c r="AC241" s="17">
        <f t="shared" si="52"/>
        <v>-1.2207144514033801E-2</v>
      </c>
      <c r="AD241" s="18">
        <f>O241/X241</f>
        <v>496.99074074074076</v>
      </c>
      <c r="AE241" s="18">
        <f>N241/W241</f>
        <v>516.66666666666663</v>
      </c>
      <c r="AF241" s="16">
        <f t="shared" si="53"/>
        <v>3.9590125756869932E-2</v>
      </c>
      <c r="AG241">
        <f t="shared" si="54"/>
        <v>475</v>
      </c>
      <c r="AH241">
        <f t="shared" si="55"/>
        <v>475</v>
      </c>
      <c r="AI241" s="16">
        <f t="shared" si="56"/>
        <v>0</v>
      </c>
      <c r="AJ241" s="18">
        <f t="shared" si="57"/>
        <v>33.840031315240083</v>
      </c>
      <c r="AK241" s="18">
        <f t="shared" si="58"/>
        <v>32.452593418851087</v>
      </c>
      <c r="AL241" s="15">
        <f t="shared" si="59"/>
        <v>0.54578754578754574</v>
      </c>
    </row>
    <row r="242" spans="1:38" x14ac:dyDescent="0.35">
      <c r="Z242" s="5">
        <f>AVERAGE(Z2:Z241)</f>
        <v>3.5287499999999969</v>
      </c>
    </row>
  </sheetData>
  <autoFilter ref="A1:AK241" xr:uid="{240B190D-38D0-4798-B593-30BB5E8CE16C}"/>
  <sortState xmlns:xlrd2="http://schemas.microsoft.com/office/spreadsheetml/2017/richdata2" ref="A2:AE242">
    <sortCondition ref="A2:A242" customList="Jan,Feb,Mar,Apr,May,Jun,Jul,Aug,Sep,Oct,Nov,Dec"/>
    <sortCondition ref="C2:C242"/>
  </sortState>
  <pageMargins left="0.7" right="0.7" top="0.75" bottom="0.75" header="0.3" footer="0.3"/>
  <headerFooter>
    <oddFooter>&amp;C_x000D_&amp;1#&amp;"Calibri"&amp;8&amp;K000000 INTERNAL USE</oddFooter>
  </headerFooter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>The Home Depot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Dave, Nidhi A (Canada)</dc:creator>
  <cp:lastModifiedBy>Yash Doshi</cp:lastModifiedBy>
  <dcterms:created xsi:type="dcterms:W3CDTF">2025-06-16T20:51:48Z</dcterms:created>
  <dcterms:modified xsi:type="dcterms:W3CDTF">2026-04-01T02:03:37Z</dcterms:modified>
</cp:coreProperties>
</file>